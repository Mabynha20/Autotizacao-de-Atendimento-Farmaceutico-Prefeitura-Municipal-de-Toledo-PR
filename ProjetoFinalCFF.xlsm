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bpkedu-my.sharepoint.com/personal/amabilly_dutra_alunos_bpkedu_com_br/Documents/Área de Trabalho/"/>
    </mc:Choice>
  </mc:AlternateContent>
  <xr:revisionPtr revIDLastSave="228" documentId="8_{365F3557-64E2-4E2D-A447-49F67B68218D}" xr6:coauthVersionLast="47" xr6:coauthVersionMax="47" xr10:uidLastSave="{07660E62-5CD7-48CD-89ED-271394C94894}"/>
  <bookViews>
    <workbookView xWindow="-120" yWindow="-120" windowWidth="20730" windowHeight="11760" tabRatio="961" firstSheet="8" activeTab="10" xr2:uid="{00000000-000D-0000-FFFF-FFFF00000000}"/>
  </bookViews>
  <sheets>
    <sheet name="Queixa" sheetId="1" r:id="rId1"/>
    <sheet name="Pacientes" sheetId="21" r:id="rId2"/>
    <sheet name="BaseDeMedicamentos" sheetId="18" r:id="rId3"/>
    <sheet name="Espirro e congestão nasal" sheetId="2" r:id="rId4"/>
    <sheet name="Infecções Fúngicas Superficiais" sheetId="6" r:id="rId5"/>
    <sheet name="Dor lombar" sheetId="3" r:id="rId6"/>
    <sheet name="Dor de garganta" sheetId="4" r:id="rId7"/>
    <sheet name="Dismenorreia" sheetId="5" r:id="rId8"/>
    <sheet name="Dor de cabeça" sheetId="7" r:id="rId9"/>
    <sheet name="Azia e má digestão" sheetId="8" r:id="rId10"/>
    <sheet name="Queimadura solar e fotoproteção" sheetId="9" r:id="rId11"/>
    <sheet name="Constipação" sheetId="10" r:id="rId12"/>
    <sheet name="Hemorroidas" sheetId="11" r:id="rId13"/>
    <sheet name="Febre" sheetId="14" r:id="rId14"/>
    <sheet name="Diarreia" sheetId="12" r:id="rId15"/>
    <sheet name="Tosse" sheetId="13" r:id="rId16"/>
    <sheet name="RECEITUÁRIO" sheetId="19" r:id="rId17"/>
  </sheets>
  <functionGroups builtInGroupCount="19"/>
  <definedNames>
    <definedName name="_xlnm.Print_Area" localSheetId="16">RECEITUÁRIO!$A$1:$N$72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9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<sst xmlns="http://schemas.openxmlformats.org/spreadsheetml/2006/main" count="1817" uniqueCount="458">
  <si>
    <t>ALGORITMO DE PRÁTICAS CLÍNICAS</t>
  </si>
  <si>
    <t>Selecione o Algoritmo</t>
  </si>
  <si>
    <t>Espirro e congestão nasal</t>
  </si>
  <si>
    <t>Peso</t>
  </si>
  <si>
    <t>Altura</t>
  </si>
  <si>
    <t>IMC do paicente:</t>
  </si>
  <si>
    <t>Idade do Paciente</t>
  </si>
  <si>
    <t>Sexo Biológico</t>
  </si>
  <si>
    <t>M</t>
  </si>
  <si>
    <t>Gestante / Lactante</t>
  </si>
  <si>
    <t>Sim</t>
  </si>
  <si>
    <t>Nivel dos Sintomas</t>
  </si>
  <si>
    <t>Ligeiro</t>
  </si>
  <si>
    <t>Data_Nascimento</t>
  </si>
  <si>
    <t>Sexo</t>
  </si>
  <si>
    <t>Altura (m)</t>
  </si>
  <si>
    <t>Peso (kg)</t>
  </si>
  <si>
    <t>IMC</t>
  </si>
  <si>
    <t>Queixa</t>
  </si>
  <si>
    <t>Data_Consulta</t>
  </si>
  <si>
    <t>Condição</t>
  </si>
  <si>
    <t xml:space="preserve">Medicamento </t>
  </si>
  <si>
    <t>Tontura, pressão alta</t>
  </si>
  <si>
    <t>Estável</t>
  </si>
  <si>
    <t>Losartana 50 mg</t>
  </si>
  <si>
    <t>F</t>
  </si>
  <si>
    <t>Sede excessiva, fadiga</t>
  </si>
  <si>
    <t>Controlada</t>
  </si>
  <si>
    <t>Metformina 850 mg</t>
  </si>
  <si>
    <t>Cansaço, falta de ar</t>
  </si>
  <si>
    <t>Precisa dieta</t>
  </si>
  <si>
    <t>Sinvastatina 20 mg</t>
  </si>
  <si>
    <t>Dor no peito, cansaço</t>
  </si>
  <si>
    <t>Sob tratamento</t>
  </si>
  <si>
    <t>Atenolol 25 mg</t>
  </si>
  <si>
    <t>Febre, dor de cabeça</t>
  </si>
  <si>
    <t>Recuperando</t>
  </si>
  <si>
    <t>Paracetamol 500 mg</t>
  </si>
  <si>
    <t>Insônia, palpitações</t>
  </si>
  <si>
    <t>Terapia</t>
  </si>
  <si>
    <t>Clonazepam 2 mg</t>
  </si>
  <si>
    <t>Cansaço, visão turva</t>
  </si>
  <si>
    <t>Crônica</t>
  </si>
  <si>
    <t>Glibenclamida 5 mg</t>
  </si>
  <si>
    <t>Espirros, coceira</t>
  </si>
  <si>
    <t>Loratadina 10 mg</t>
  </si>
  <si>
    <t>Tratamento med</t>
  </si>
  <si>
    <t>Desloratadina 5 mg</t>
  </si>
  <si>
    <t>Dor lombar</t>
  </si>
  <si>
    <t>Sob controle</t>
  </si>
  <si>
    <t>Ibuprofeno 400 mg</t>
  </si>
  <si>
    <t>Dismenorreia</t>
  </si>
  <si>
    <t>Ácido mefenâmico 500 mg</t>
  </si>
  <si>
    <t>Infecções fúngicas superficiais</t>
  </si>
  <si>
    <t>Em tratamento</t>
  </si>
  <si>
    <t>Cetoconazol creme 2%</t>
  </si>
  <si>
    <t>Dor de cabeça</t>
  </si>
  <si>
    <t>Dipirona 500 mg</t>
  </si>
  <si>
    <t>Azia e má digestão</t>
  </si>
  <si>
    <t>Omeprazol 20 mg</t>
  </si>
  <si>
    <t>Queimadura solar e fotoproteção</t>
  </si>
  <si>
    <t>Aloe vera gel</t>
  </si>
  <si>
    <t>Constipação</t>
  </si>
  <si>
    <t>Em dieta</t>
  </si>
  <si>
    <t>Lactulose xarope</t>
  </si>
  <si>
    <t>Hemorroidas</t>
  </si>
  <si>
    <t>Pomada de hamamélis</t>
  </si>
  <si>
    <t>Febre</t>
  </si>
  <si>
    <t>Paracetamol 750 mg</t>
  </si>
  <si>
    <t>Diarreia</t>
  </si>
  <si>
    <t>Hidratação oral + Racecadotrila</t>
  </si>
  <si>
    <t>Tosse</t>
  </si>
  <si>
    <t>Xarope de guaifenesina</t>
  </si>
  <si>
    <t xml:space="preserve">  </t>
  </si>
  <si>
    <t>BASE DE MEDICAMENTOS</t>
  </si>
  <si>
    <t>Grupo</t>
  </si>
  <si>
    <t>Linha de Tratamento</t>
  </si>
  <si>
    <t>Critério (Idade/Peso)</t>
  </si>
  <si>
    <t>Tipo</t>
  </si>
  <si>
    <t>Princípio Ativo / Orientação</t>
  </si>
  <si>
    <t>Forma Farmacêutica</t>
  </si>
  <si>
    <t>Posologia / Detalhes</t>
  </si>
  <si>
    <t>Não Farmacológico</t>
  </si>
  <si>
    <t>N/A</t>
  </si>
  <si>
    <t>Todos</t>
  </si>
  <si>
    <t>Orientação</t>
  </si>
  <si>
    <t>Ingerir líquidos</t>
  </si>
  <si>
    <t>Oral</t>
  </si>
  <si>
    <t>Aumentar a ingestão de água, chás e sucos</t>
  </si>
  <si>
    <t>Umidificar o ar</t>
  </si>
  <si>
    <t>Ambiental</t>
  </si>
  <si>
    <t>Usar umidificadores ou toalhas molhadas no ambiente</t>
  </si>
  <si>
    <t>Solução salina isotônica (0,9%)</t>
  </si>
  <si>
    <t>Solução Nasal</t>
  </si>
  <si>
    <t>Aplicar em cada narina conforme necessidade para limpeza e hidratação</t>
  </si>
  <si>
    <t>Todos (se alérgico)</t>
  </si>
  <si>
    <t>Evitar exposição a alérgenos</t>
  </si>
  <si>
    <t>Comportamental</t>
  </si>
  <si>
    <t>Manter o ambiente limpo, evitar poeira, pólen, etc.</t>
  </si>
  <si>
    <t>&gt; 1 ano</t>
  </si>
  <si>
    <t>Ingerir mel (puro ou com limão)</t>
  </si>
  <si>
    <t>1 colher de sopa antes de dormir</t>
  </si>
  <si>
    <t>Criança</t>
  </si>
  <si>
    <t>1ª Linha</t>
  </si>
  <si>
    <t>Todas as idades</t>
  </si>
  <si>
    <t>Medicamento</t>
  </si>
  <si>
    <t>Irrigação com solução salina isotônica</t>
  </si>
  <si>
    <t>Lavagem nasal várias vezes ao dia</t>
  </si>
  <si>
    <t>1ª Linha Alternativa</t>
  </si>
  <si>
    <t>&gt; 2 anos (se alergia)</t>
  </si>
  <si>
    <t>Loratadina / Fexofenadina</t>
  </si>
  <si>
    <t>Xarope / Susp. Oral</t>
  </si>
  <si>
    <t>Seguir a posologia da bula de acordo com idade/peso</t>
  </si>
  <si>
    <t>Adulto</t>
  </si>
  <si>
    <t>&gt; 12 anos</t>
  </si>
  <si>
    <t>Descongestionante nasal tópico</t>
  </si>
  <si>
    <t>1 a 2 aplicações em cada narina, 2 a 3 vezes ao dia</t>
  </si>
  <si>
    <t>&gt; 12 anos (se alergia)</t>
  </si>
  <si>
    <t>Anti-histamínico H1 (2ª geração)</t>
  </si>
  <si>
    <t>Comprimido</t>
  </si>
  <si>
    <t>Ex: Loratadina 10mg, 1 comprimido ao dia</t>
  </si>
  <si>
    <t>2ª Linha</t>
  </si>
  <si>
    <t>Descongestionante sistêmico</t>
  </si>
  <si>
    <t>Ex: Pseudoefedrina (em associações)</t>
  </si>
  <si>
    <t>3ª Linha</t>
  </si>
  <si>
    <t>Anti-histamínico + Descongestionante</t>
  </si>
  <si>
    <t>Associações medicamentosas prontas</t>
  </si>
  <si>
    <t>Idoso</t>
  </si>
  <si>
    <t>&gt; 60 anos</t>
  </si>
  <si>
    <t>&gt; 60 anos (se alergia)</t>
  </si>
  <si>
    <t>Loratadina</t>
  </si>
  <si>
    <t>10mg, 1 comprimido ao dia</t>
  </si>
  <si>
    <t>Gestante</t>
  </si>
  <si>
    <t>Gestantes</t>
  </si>
  <si>
    <t>Manter-se Ativo / Evitar Repouso</t>
  </si>
  <si>
    <t>Continuar as atividades o máximo possível. O repouso só é indicado por poucas horas em crise aguda.</t>
  </si>
  <si>
    <t>Aplicação de Calor ou Gelo</t>
  </si>
  <si>
    <t>Compressa ou bolsa</t>
  </si>
  <si>
    <t>O calor é geralmente preferido, o gelo pode ser útil na fase aguda.</t>
  </si>
  <si>
    <t>Exercícios e Alongamentos</t>
  </si>
  <si>
    <t>Iniciar exercícios suaves para fortalecer a musculatura e prevenir recorrências.</t>
  </si>
  <si>
    <t>&gt; 18 anos</t>
  </si>
  <si>
    <t>Paracetamol (Acetaminofeno)</t>
  </si>
  <si>
    <t>Dose conforme orientação médica (máximo 4g/dia). É a opção inicial mais segura.</t>
  </si>
  <si>
    <t>Anti-inflamatório Não Esteroidal (AINE)</t>
  </si>
  <si>
    <t>Ex: Ibuprofeno, Naproxeno. Uso pelo menor tempo possível (máx. 5-7 dias).</t>
  </si>
  <si>
    <t>Relaxante Muscular (Miorrelaxante)</t>
  </si>
  <si>
    <t>Ex: Ciclobenzaprina. Indicado se houver espasmo muscular. Causa sonolência.</t>
  </si>
  <si>
    <t>Opioides Fracos</t>
  </si>
  <si>
    <t>Ex: Codeína, Tramadol. Usar apenas para dor aguda intensa e refratária. Risco de dependência.</t>
  </si>
  <si>
    <t>Dose conforme orientação médica. Opção mais segura, AINEs devem ser evitados.</t>
  </si>
  <si>
    <t>Fisioterapia / Atividade Física</t>
  </si>
  <si>
    <t>Acompanhamento profissional</t>
  </si>
  <si>
    <t>Avaliar interações medicamentosas. Ênfase na reabilitação funcional.</t>
  </si>
  <si>
    <t>Cinta de Suporte / Postura</t>
  </si>
  <si>
    <t>Cinta / Orientação</t>
  </si>
  <si>
    <t>Uso de cintas e ajustes posturais. Opção principal e mais segura.</t>
  </si>
  <si>
    <t>Dose conforme orientação médica. Opção mais segura na gestação. AINEs devem ser evitados.</t>
  </si>
  <si>
    <t>Dor de garganta</t>
  </si>
  <si>
    <t>Forma Farmacêutica/Posologia / Detalhes</t>
  </si>
  <si>
    <t>Observações</t>
  </si>
  <si>
    <t>Gargarejo com água e sal</t>
  </si>
  <si>
    <t>Solução Aquosa</t>
  </si>
  <si>
    <t>1/2 colher de chá de sal em 1 copo de água morna. Ajuda a aliviar a dor e a inflamação.</t>
  </si>
  <si>
    <t>Aumentar a ingestão de águas, chás e caldos mornos para manter a mucosa hidratada.</t>
  </si>
  <si>
    <t>Mel (puro ou com limão)</t>
  </si>
  <si>
    <t>1 colher de sopa antes de dormir. Não usar em crianças &lt; 1 ano (risco de botulismo).</t>
  </si>
  <si>
    <t>Xarope / Supositório</t>
  </si>
  <si>
    <t>Seguir a posologia da bula de acordo com idade/peso. Opção mais segura.</t>
  </si>
  <si>
    <t>&gt; 6 anos</t>
  </si>
  <si>
    <t>Pastilhas / Sprays Tópicos</t>
  </si>
  <si>
    <t>Pastilha / Spray</t>
  </si>
  <si>
    <t>Conforme a indicação do produto. Usar em crianças que conseguem chupar pastilhas com segurança.</t>
  </si>
  <si>
    <t>Dose conforme orientação médica (máx. 4g/dia). Opção segura.</t>
  </si>
  <si>
    <t>Ex: Ibuprofeno, Naproxeno. Uso pontual. Eficaz em inflamação.</t>
  </si>
  <si>
    <t>Conforme a indicação do produto, para alívio imediato da dor (ação anestésica local).</t>
  </si>
  <si>
    <t>Avaliação Médica</t>
  </si>
  <si>
    <t>Consulta</t>
  </si>
  <si>
    <t>Procurar um médico se a dor persistir por mais de 3 dias ou for acompanhada de febre/pus.</t>
  </si>
  <si>
    <t>Primeira escolha. Dose ajustada, se necessário. Evitar AINEs.</t>
  </si>
  <si>
    <t>Opção de escolha principal e mais segura.</t>
  </si>
  <si>
    <t>Dose conforme orientação médica. AINEs são contraindicados no terceiro trimestre.</t>
  </si>
  <si>
    <t>Todas</t>
  </si>
  <si>
    <t>Aplicação de Calor</t>
  </si>
  <si>
    <t>Bolsa de água quente</t>
  </si>
  <si>
    <t>Aplicar na região abdominal. Ajuda a relaxar os músculos e aliviar o espasmo.</t>
  </si>
  <si>
    <t>Atividade Física Leve</t>
  </si>
  <si>
    <t>Praticar caminhada, yoga, alongamentos. Reduz a intensidade das cólicas e melhora o humor.</t>
  </si>
  <si>
    <t>Aumentar a ingestão de água e chás para reduzir o inchaço e a retenção de líquidos.</t>
  </si>
  <si>
    <t>Ex: Ibuprofeno, Naproxeno. Iniciar no começo dos sintomas para inibir as prostaglandinas.</t>
  </si>
  <si>
    <t>Antiespasmódico</t>
  </si>
  <si>
    <t>Ex: Butilbrometo de Escopolamina. Indicado para relaxamento muscular, pode ser associado com AINE.</t>
  </si>
  <si>
    <t>Analgésico Simples</t>
  </si>
  <si>
    <t>Ex: Paracetamol. Usado se AINEs forem contraindicados. Menor eficácia para cólica.</t>
  </si>
  <si>
    <t>Contraceptivos Hormonais</t>
  </si>
  <si>
    <t>Pílula / Anel / DIU hormonal</t>
  </si>
  <si>
    <t>Tratamento de longo prazo para dismenorreia primária em casos moderados a graves.</t>
  </si>
  <si>
    <t>Menopausa</t>
  </si>
  <si>
    <t>Investigação Clínica</t>
  </si>
  <si>
    <t>A cólica pós-menopausa não é normal e requer investigação para descartar outras causas.</t>
  </si>
  <si>
    <t>Sinais de Alerta</t>
  </si>
  <si>
    <t>Orientação / Consulta</t>
  </si>
  <si>
    <t>Cólicas na gravidez não são normais. Podem indicar complicações. Procurar atendimento imediato.</t>
  </si>
  <si>
    <t>Dose conforme orientação médica. Único analgésico seguro, mas usar somente após avaliação médica.</t>
  </si>
  <si>
    <t>Infecções Fúngicas Superficiais</t>
  </si>
  <si>
    <t>Higiene e Secagem da Pele</t>
  </si>
  <si>
    <t>Lavar e secar bem a área afetada, especialmente entre os dedos e dobras.</t>
  </si>
  <si>
    <t>Troca de Roupas e Calçados</t>
  </si>
  <si>
    <t>Usar roupas íntimas de algodão e evitar tecidos sintéticos para manter a área arejada.</t>
  </si>
  <si>
    <t>Evitar Compartilhamento</t>
  </si>
  <si>
    <t>Não compartilhar toalhas, roupas ou meias para evitar a propagação da infecção.</t>
  </si>
  <si>
    <t>Antifúngico Tópico (Azóis)</t>
  </si>
  <si>
    <t>Creme / Pó / Spray</t>
  </si>
  <si>
    <t>Ex: Miconazol, Clotrimazol. Aplicar 2x/dia. Usar por 1-2 semanas após o desaparecimento.</t>
  </si>
  <si>
    <t>Antifúngico Tópico (Alilaminas)</t>
  </si>
  <si>
    <t>Creme / Solução</t>
  </si>
  <si>
    <t>Ex: Terbinafina. Aplicar 1x/dia. Indicado para tinea. Tratamento mais curto (1-2 semanas).</t>
  </si>
  <si>
    <t>Antifúngico Oral</t>
  </si>
  <si>
    <t>Ex: Terbinafina, Itraconazol. Indicado para micoses extensas, unhas ou refratárias ao tto. tópico.</t>
  </si>
  <si>
    <t>Retorno Médico</t>
  </si>
  <si>
    <t>Reavaliar o diagnóstico se não houver melhora após 4 semanas de uso tópico.</t>
  </si>
  <si>
    <t>Antifúngico Tópico</t>
  </si>
  <si>
    <t>Ex: Miconazol, Terbinafina. Priorizar o tratamento tópico devido a riscos de interações.</t>
  </si>
  <si>
    <t>Controle da Umidade</t>
  </si>
  <si>
    <t>Pó / Talco</t>
  </si>
  <si>
    <t>Secar bem as dobras e usar talcos ou pós para prevenir infecções recorrentes.</t>
  </si>
  <si>
    <t>Ex: Clotrimazol, Miconazol. Opção mais segura devido à absorção sistêmica mínima.</t>
  </si>
  <si>
    <t>USO EVITADO. Somente sob estrita orientação e avaliação de risco-benefício pelo médico.</t>
  </si>
  <si>
    <t>Repouso e Descanso</t>
  </si>
  <si>
    <t>Ingerir líquidos, deitar em local escuro e silencioso. Fundamental na fase inicial.</t>
  </si>
  <si>
    <t>Compressa</t>
  </si>
  <si>
    <t>Gelo ou calor na nuca ou pescoço. Alternar conforme a preferência para ajudar a aliviar a dor.</t>
  </si>
  <si>
    <t>Evitar Desencadeantes</t>
  </si>
  <si>
    <t>Identificar e evitar alimentos, odores, estresse, etc. Medida preventiva e de alívio.</t>
  </si>
  <si>
    <t>Seguir a posologia da bula de acordo com idade/peso. Analgésico de primeira escolha.</t>
  </si>
  <si>
    <t>&gt; 6 meses</t>
  </si>
  <si>
    <t>Ex: Ibuprofeno. Mais eficaz que o paracetamol em alguns casos. Seguir a dose estritamente.</t>
  </si>
  <si>
    <t>Dose conforme orientação médica (máx. 4g/dia). Analgésico simples. Opção segura.</t>
  </si>
  <si>
    <t>Ex: Ibuprofeno, Naproxeno. Mais eficaz para dor moderada ou com componente inflamatório.</t>
  </si>
  <si>
    <t>Triptanos</t>
  </si>
  <si>
    <t>Ex: Sumatriptano. Medicação específica para enxaqueca. Usar no início da crise.</t>
  </si>
  <si>
    <t>Combinação</t>
  </si>
  <si>
    <t>Ex: Paracetamol + Cafeína. Usar com cautela para evitar o uso excessivo (refratariedade).</t>
  </si>
  <si>
    <t>Dose ajustada, se necessário. Primeira escolha. Evitar AINEs.</t>
  </si>
  <si>
    <t>Repouso e Compressa</t>
  </si>
  <si>
    <t>Orientação / Compressa</t>
  </si>
  <si>
    <t>Deitar e aplicar compressas. Opção de escolha principal. Evitar medicamentos no 1º trimestre.</t>
  </si>
  <si>
    <t>Dose conforme orientação médica. AINEs (como Ibuprofeno) são contraindicados no 3º trimestre.</t>
  </si>
  <si>
    <t>Dieta e Hábitos</t>
  </si>
  <si>
    <t>Evitar frituras, álcool, etc. Comer devagar e em pequenas quantidades. Não deitar após as refeições.</t>
  </si>
  <si>
    <t>Postura Noturna</t>
  </si>
  <si>
    <t>Elevar a cabeceira da cama (15-20 cm) ou usar blocos sob os pés da cama para evitar refluxo.</t>
  </si>
  <si>
    <t>Controle do Peso</t>
  </si>
  <si>
    <t>Manter o peso ideal. A obesidade e o excesso de peso aumentam a pressão abdominal.</t>
  </si>
  <si>
    <t>Antiácido (Hidróxido de Alumínio/Magnésio)</t>
  </si>
  <si>
    <t>Suspensão Oral</t>
  </si>
  <si>
    <t>Seguir a posologia da bula de acordo com idade/peso. Neutraliza rapidamente a acidez.</t>
  </si>
  <si>
    <t>&gt; 2 anos</t>
  </si>
  <si>
    <t>Inibidor da Bomba de Prótons (IBP)</t>
  </si>
  <si>
    <t>Cápsula / Sachê</t>
  </si>
  <si>
    <t>Ex: Omeprazol, Lansoprazol. Usado para refluxo persistente. Requer diagnóstico e prescrição.</t>
  </si>
  <si>
    <t>Suspensão Oral / Comp. mastigável</t>
  </si>
  <si>
    <t>Alívio rápido dos sintomas de azia.</t>
  </si>
  <si>
    <t>Antagonista do Receptor H2</t>
  </si>
  <si>
    <t>Ex: Ranitidina, Cimetidina. Reduz a produção de ácido. Efeito mais duradouro que o antiácido.</t>
  </si>
  <si>
    <t>Cápsula / Comprimido</t>
  </si>
  <si>
    <t>Ex: Omeprazol, Pantoprazol. Tratamento de escolha para esofagite. Não usar por tempo prolongado.</t>
  </si>
  <si>
    <t>Consulta Médica</t>
  </si>
  <si>
    <t>Necessária se os sintomas persistirem após 2 semanas de IBP ou houver sinais de alerta.</t>
  </si>
  <si>
    <t>Antiácido</t>
  </si>
  <si>
    <t>Suspensão Oral / Comprimido</t>
  </si>
  <si>
    <t>Opção mais segura para alívio pontual. Evitar uso prolongado de IBP devido a risco de fraturas.</t>
  </si>
  <si>
    <t>Dieta e Postura</t>
  </si>
  <si>
    <t>Evitar excessos, comer devagar, elevar a cabeceira. Opção de escolha principal e mais segura.</t>
  </si>
  <si>
    <t>Antiácidos (Cálcio/Magnésio)</t>
  </si>
  <si>
    <t>Opção de alívio rápido, considerada segura na gestação.</t>
  </si>
  <si>
    <t>Evitar Exposição Solar</t>
  </si>
  <si>
    <t>Permanecer em local fresco, coberto e à sombra para evitar o agravamento.</t>
  </si>
  <si>
    <t>Hidratação Oral</t>
  </si>
  <si>
    <t>Aumentar a ingestão de águas, chás e sucos para repor líquidos e combater a desidratação.</t>
  </si>
  <si>
    <t>Compressas Frias</t>
  </si>
  <si>
    <t>Aplicar toalhas frias ou gelo envolto em tecido na área afetada para reduzir a dor e a inflamação.</t>
  </si>
  <si>
    <t>Hidratação Tópica Pós-Sol</t>
  </si>
  <si>
    <t>Loção / Gel Tópico</t>
  </si>
  <si>
    <t>Usar várias vezes ao dia. Acalma a pele e ajuda na regeneração. Ex: Gel com Aloe Vera.</t>
  </si>
  <si>
    <t>Seguir a posologia da bula de acordo com idade/peso para alívio da dor e febre.</t>
  </si>
  <si>
    <t>Ex: Ibuprofeno. Usado sob orientação para reduzir a inflamação e a dor.</t>
  </si>
  <si>
    <t>Paracetamol (Acetaminofeno) ou AINE</t>
  </si>
  <si>
    <t>Dose conforme orientação médica. Controla a dor e a inflamação.</t>
  </si>
  <si>
    <t>Creme/Pomada com Corticoide Leve</t>
  </si>
  <si>
    <t>Creme / Pomada Tópica</t>
  </si>
  <si>
    <t>Ex: Hidrocortisona a 1%. Uso limitado a 1-2 dias para reduzir a inflamação e vermelhidão.</t>
  </si>
  <si>
    <t>Procurar Atendimento</t>
  </si>
  <si>
    <t>Procurar atendimento se houver bolhas grandes, febre ou sinais de infecção (queimadura de 2º/3º grau).</t>
  </si>
  <si>
    <t>Fotoproteção Diária</t>
  </si>
  <si>
    <t>Filtro Solar / Orientação</t>
  </si>
  <si>
    <t>Usar filtro solar FPS 30+ e cobrir a pele com roupas/chapéus para prevenir câncer de pele.</t>
  </si>
  <si>
    <t>Fotoproteção Máxima</t>
  </si>
  <si>
    <t>Filtro Solar Físico/Mineral</t>
  </si>
  <si>
    <t>Usar filtro com óxido de zinco/dióxido de titânio para evitar manchas (melasma) e queimaduras.</t>
  </si>
  <si>
    <t>Dose conforme orientação médica. Analgésico seguro para a dor. AINEs são contraindicados.</t>
  </si>
  <si>
    <t>Dieta Rica em Fibras</t>
  </si>
  <si>
    <t>Aumentar consumo de frutas e cereais integrais para aumentar o volume e a maciez das fezes.</t>
  </si>
  <si>
    <t>Aumento da Ingestão Hídrica</t>
  </si>
  <si>
    <t>Ingerir pelo menos 2 litros de água por dia para hidratar as fezes e facilitar a passagem.</t>
  </si>
  <si>
    <t>Atividade Física</t>
  </si>
  <si>
    <t>Praticar exercícios regulares para estimular os movimentos intestinais (peristaltismo).</t>
  </si>
  <si>
    <t>Criança/Adulto</t>
  </si>
  <si>
    <t>Laxante Formador de Bolo</t>
  </si>
  <si>
    <t>Pó / Sachê</t>
  </si>
  <si>
    <t>Ex: Psyllium, Metilcelulose. Dissolver em água. Agem na água para aumentar o volume das fezes.</t>
  </si>
  <si>
    <t>Laxante Osmótico</t>
  </si>
  <si>
    <t>Pó / Solução Oral</t>
  </si>
  <si>
    <t>Ex: Polietilenoglicol (PEG), Lactulose. Puxam água para o intestino, amolecendo as fezes.</t>
  </si>
  <si>
    <t>Laxante Estimulante</t>
  </si>
  <si>
    <t>Ex: Bisacodil, Sene. Promovem contrações no intestino. Uso pontual. Risco de dependência.</t>
  </si>
  <si>
    <t>Laxante de Ação Rápida</t>
  </si>
  <si>
    <t>Supositório / Enema</t>
  </si>
  <si>
    <t>Glicerina (Supositório), Fosfato (Enema). Uso em casos de fezes endurecidas no reto e urgência.</t>
  </si>
  <si>
    <t>Laxante Osmótico ou Formador de Bolo</t>
  </si>
  <si>
    <t>Ex: PEG, Lactulose, Psyllium. Opções preferenciais devido ao perfil de segurança e menor risco.</t>
  </si>
  <si>
    <t>Descartar causas secundárias (medicamentos, doenças).</t>
  </si>
  <si>
    <t>Fibras e Água</t>
  </si>
  <si>
    <t>Dieta e Hidratação</t>
  </si>
  <si>
    <t>Laxante Formador de Bolo ou Osmótico</t>
  </si>
  <si>
    <t>Ex: Psyllium, PEG. Opções seguras na gestação, pois têm pouca ou nenhuma absorção sistêmica.</t>
  </si>
  <si>
    <t>Higiene Anal</t>
  </si>
  <si>
    <t>Limpar suavemente com água, sabonete neutro ou lenço umedecido. Evitar papel higiênico áspero.</t>
  </si>
  <si>
    <t>Banhos de Assento</t>
  </si>
  <si>
    <t>Água morna, 3 a 4 vezes ao dia por 10 a 15 minutos, para aliviar a dor, o espasmo e a inflamação.</t>
  </si>
  <si>
    <t>Evitar Esforço na Evacuação</t>
  </si>
  <si>
    <t>Não ficar sentado no vaso sanitário por tempo prolongado. Tratar a constipação.</t>
  </si>
  <si>
    <t>Pomada/Creme com Anestésico</t>
  </si>
  <si>
    <t>Aplicação local</t>
  </si>
  <si>
    <t>Ex: Lidocaína. Aplicar 2 a 3 vezes ao dia para alívio rápido da dor e da coceira (prurido).</t>
  </si>
  <si>
    <t>Pomada com Corticoide</t>
  </si>
  <si>
    <t>Ex: Hidrocortisona. Uso limitado a 7 dias. Reduz a inflamação e o inchaço.</t>
  </si>
  <si>
    <t>Flebotônico/Venotônico Oral</t>
  </si>
  <si>
    <t>Ex: Diosmina + Hesperidina. Fortalece a parede das veias, reduzindo sangramento e inchaço.</t>
  </si>
  <si>
    <t>Especialista (Proctologista)</t>
  </si>
  <si>
    <t>Procurar especialista se houver sangramento intenso, dor insuportável ou persistência dos sintomas.</t>
  </si>
  <si>
    <t>Pomada com Anestésico</t>
  </si>
  <si>
    <t>Opção de alívio rápido, priorizando o tratamento da constipação.</t>
  </si>
  <si>
    <t>Tratamento Agressivo da Constipação</t>
  </si>
  <si>
    <t>Fibras e Laxantes Osmóticos</t>
  </si>
  <si>
    <t>Prevenir a causa subjacente (esforço) é a principal medida.</t>
  </si>
  <si>
    <t>Fibras, Banho de Assento e Gelo</t>
  </si>
  <si>
    <t>Medidas comportamentais</t>
  </si>
  <si>
    <t>Ex: Lidocaína. Uso pontual e sob orientação para alívio da dor intensa.</t>
  </si>
  <si>
    <t>Hidratação</t>
  </si>
  <si>
    <t>Ingerir água, chás e líquidos mornos para ajudar a fluidificar as secreções.</t>
  </si>
  <si>
    <t>Umidificação do Ar</t>
  </si>
  <si>
    <t>Ambiente</t>
  </si>
  <si>
    <t>Usar umidificadores ou bacias com água no ambiente para reduzir a irritação das vias aéreas.</t>
  </si>
  <si>
    <t>1 colher de sopa antes de dormir. Alivia a tosse. Não usar em crianças &lt; 1 ano.</t>
  </si>
  <si>
    <t>Lavagem Nasal com Solução Salina</t>
  </si>
  <si>
    <t>Lavagem nasal várias vezes ao dia para remover secreções que causam tosse.</t>
  </si>
  <si>
    <t>Expectorante Simples</t>
  </si>
  <si>
    <t>Xarope</t>
  </si>
  <si>
    <t>Ex: Hedera helix, Acetilcisteína. Fluidifica o muco (indicado para tosse com catarro).</t>
  </si>
  <si>
    <t>Tratar a Causa Subjacente</t>
  </si>
  <si>
    <t>Se for intermitente, tratar com anti-histamínico/lavagem; se for refluxo, tratar azia.</t>
  </si>
  <si>
    <t>Supressor da Tosse (Antitussígeno)</t>
  </si>
  <si>
    <t>Xarope / Comprimido</t>
  </si>
  <si>
    <t>Ex: Dextrometorfano, Codeína. Indicado para TOSSE SECA. Não usar em tosse produtiva.</t>
  </si>
  <si>
    <t>Expectorante/Mucolítico</t>
  </si>
  <si>
    <t>Ex: Acetilcisteína, Carbocisteína. Indicado para tosse produtiva, para fluidificar o muco.</t>
  </si>
  <si>
    <t>Procurar atendimento se a tosse persistir por mais de 3 semanas ou houver febre/falta de ar.</t>
  </si>
  <si>
    <t>Lavagem Nasal e Hidratação</t>
  </si>
  <si>
    <t>Solução Salina / Líquidos</t>
  </si>
  <si>
    <t>Medidas seguras. Evitar antitussígenos com codeína ou sedativos.</t>
  </si>
  <si>
    <t>Mel, Lavagem Nasal e Umidificação</t>
  </si>
  <si>
    <t>Medidas não farmacológicas</t>
  </si>
  <si>
    <t>Expectorantes Simples</t>
  </si>
  <si>
    <t>Xarope, sob orientação</t>
  </si>
  <si>
    <t>A maioria dos antitussígenos é evitada na gestação.</t>
  </si>
  <si>
    <t>Limpar suavemente com água e sabonete neutro. Evitar papel higiênico áspero para não irritar.</t>
  </si>
  <si>
    <t>Água morna, 3 a 4 vezes ao dia por 10 a 15 minutos, para aliviar a dor e a inflamação.</t>
  </si>
  <si>
    <t>Não ficar sentado no vaso por tempo prolongado. Tratar a constipação, que é a causa principal.</t>
  </si>
  <si>
    <t>Pomada / Creme</t>
  </si>
  <si>
    <t>Ex: Lidocaína. Aplicar 2 a 3 vezes ao dia para alívio rápido da dor e da coceira.</t>
  </si>
  <si>
    <t>Pomada</t>
  </si>
  <si>
    <t>Ex: Hidrocortisona. Uso limitado a 7 dias para reduzir a inflamação e o inchaço.</t>
  </si>
  <si>
    <t>Ex: Diosmina + Hesperidina. Fortalece a parede das veias, reduzindo o sangramento.</t>
  </si>
  <si>
    <t>Procurar especialista se houver sangramento intenso ou dor insuportável.</t>
  </si>
  <si>
    <t>Opção para alívio rápido. Priorizar o tratamento da constipação para evitar esforço.</t>
  </si>
  <si>
    <t>Fibras / Laxantes</t>
  </si>
  <si>
    <t>ALGORITMO DE ESPIRRO DE CONGESTAO NASAL</t>
  </si>
  <si>
    <t>TEMPO: Há quanto tempo? Com que frequência? Qual a duração?</t>
  </si>
  <si>
    <t>Até 10 dias</t>
  </si>
  <si>
    <t>CARACTERÍSTICAS/QUALIDADE: Quais as características do sinal/sintoma?</t>
  </si>
  <si>
    <t>Paciente não tem nenhuma característica de alerta</t>
  </si>
  <si>
    <t>GRAVIDADE/INTENSIDADE: Qual a intensidade do sinal/sintoma?</t>
  </si>
  <si>
    <t>Paciente NÃO está incapacitado para realizar atividades diárias</t>
  </si>
  <si>
    <t>AMBIENTE/SITUAÇÃO: Em qual ambiente/situação o sinal/sintoma ocorre?</t>
  </si>
  <si>
    <t>Nenhum (a) ambiente/ situação de alerta</t>
  </si>
  <si>
    <t>FATORES: Quais fatores pioram ou aliviam o sinal/sintoma?</t>
  </si>
  <si>
    <t>Nenhum(a) fator/situação de alerta</t>
  </si>
  <si>
    <t>SINAIS/SINTOMAS ASSOCIADOS Apresenta outros sinais/sintomas associados?</t>
  </si>
  <si>
    <t>Tosse leve, mal-estar, dor de cabeça, febre baixa</t>
  </si>
  <si>
    <t>PERFIL DO PACIENTE: Ciclo de vida, idade, gestação ou lactação, situações especiais?</t>
  </si>
  <si>
    <t>Sem características de alerta</t>
  </si>
  <si>
    <t>HISTÓRIA CLÍNICA: Tem condições de saúde que predispõem ou agravam o sinal/sintoma?</t>
  </si>
  <si>
    <t>Nenhuma condição de saúde que predispõe ou agrava o sinal/sintoma</t>
  </si>
  <si>
    <t>HISTÓRIA FARMACOTERAPÊUTICA
Utiliza medicamentos que agravam ou estão associados ao sinal/
sintoma? Já tentou tratamento recente para esse sinal/sintoma?</t>
  </si>
  <si>
    <t>Sem histórico relevante</t>
  </si>
  <si>
    <t>Sugestões para o Paciente (Gestante)</t>
  </si>
  <si>
    <t>Linha</t>
  </si>
  <si>
    <t>Princípio / Orientação</t>
  </si>
  <si>
    <t>Forma</t>
  </si>
  <si>
    <t>ALGORITIMO INFECÇÕES FÚNDICAS SUPERFICIAIS</t>
  </si>
  <si>
    <t>ALGORITIMO DOR NA LOMBAR</t>
  </si>
  <si>
    <t>Sugestões para o Paciente (Adulto)</t>
  </si>
  <si>
    <t>ALGORITIMO DOR NA GARGANTA</t>
  </si>
  <si>
    <t>ALGORITIMO DISMENORREIA</t>
  </si>
  <si>
    <t>ALGORITIMO DOR DE CABEÇA</t>
  </si>
  <si>
    <t>ALGORITIMO AZIA E MÁ DIGESTÃO</t>
  </si>
  <si>
    <t>ALGORITIMO QUEIMADURA SOLAR E FOTOPROTEÇÃO</t>
  </si>
  <si>
    <t>ALGORITIMO CONSTIPAÇÃO</t>
  </si>
  <si>
    <t>ALGORITIMO HEMORROIDA</t>
  </si>
  <si>
    <t>7-10 dias</t>
  </si>
  <si>
    <t>Sangramento, prurido anal, prolapso reversível (que retorna espontaneamente) e/ou dor</t>
  </si>
  <si>
    <t>Dor leve a moderada. Sangramento tipicamente vermelho vivo, que cobre as fezes no final da defecação ou que pinga no vaso sanitário</t>
  </si>
  <si>
    <t>Sinais e sintomas proeminentes durante a evacuação. Alterações de rotina</t>
  </si>
  <si>
    <t>Alimentação irregular e constipante, redução da ingestão alimentar (por opção) e consumo de água insuficiente podem agravar o sinal/sintoma</t>
  </si>
  <si>
    <t>Paciente NÃO apresenta sinais/ sintomas associados</t>
  </si>
  <si>
    <t>Nenhuma condição de saúde que predispõe o sinal/sintoma</t>
  </si>
  <si>
    <t>ALGORITIMO FEBRE</t>
  </si>
  <si>
    <t>&lt; 3 dias</t>
  </si>
  <si>
    <t>T.* Retal &gt; 38°C T.* Oral &gt; 37,5°C T.* Axilar &gt; 37,4°C T.* Temporal &gt; 37,8°C T.* Timpânica &gt; 37,8°C</t>
  </si>
  <si>
    <t>Leve a moderada. Paciente NÃO está incapacitado para realizar atividades diárias</t>
  </si>
  <si>
    <t>Paciente NÃO apresenta sinais/sintomas associados</t>
  </si>
  <si>
    <t xml:space="preserve">Sem histórico relevante </t>
  </si>
  <si>
    <t>ALGORITIMO DIARREIRA</t>
  </si>
  <si>
    <t>≤ 5 dias</t>
  </si>
  <si>
    <t>Fezes macias ou aquosas, com aumento na frequência de evacuação (comumente três vezes, em um período de 24 horas)</t>
  </si>
  <si>
    <t>Estresse e/ou alterações de alimentação</t>
  </si>
  <si>
    <t>Pode agravar com dieta rica em alimentos gordurosos, condimentados e hiperosmolares</t>
  </si>
  <si>
    <t>Dor abdominal e/ou cólica leve a moderada, distensão abdominal, flatulência e/ou fraqueza</t>
  </si>
  <si>
    <t>Medicamentos com potencial de indução de diarreia</t>
  </si>
  <si>
    <t>ALGORITIMO TOSSE</t>
  </si>
  <si>
    <t>&lt; 3 semanas</t>
  </si>
  <si>
    <t>Tosse produtiva ou seca</t>
  </si>
  <si>
    <t>Tosse associada à ambientes ricos em alérgenos (ex. pólen, ácaros, poluição)</t>
  </si>
  <si>
    <t>O sinal/sintoma pode ser agravado por alimentos condimentados, pela poluição, pelo frio ou calor excessivo, e por outros compostos químicos irritantes</t>
  </si>
  <si>
    <t>Espirros, congestão nasal e/ou febre de natureza autolimitada (vide os respectivos algoritmos)</t>
  </si>
  <si>
    <t>Paciente com histórico de rinite alérgica na vigência da crise</t>
  </si>
  <si>
    <t>PREFEITURA MUNICIPAL DE TOLEDO</t>
  </si>
  <si>
    <t>SECRETARIA MUNICIPAL DE SAÚDE</t>
  </si>
  <si>
    <t>RECEITUÁRIO FARMACÊUTICO</t>
  </si>
  <si>
    <t>DATA:</t>
  </si>
  <si>
    <t>PRESCRIÇÃO:</t>
  </si>
  <si>
    <t>__________________________________________</t>
  </si>
  <si>
    <t>ASSINATURA</t>
  </si>
  <si>
    <t xml:space="preserve"> </t>
  </si>
  <si>
    <t>&lt; 1 mês</t>
  </si>
  <si>
    <t>Placa eritematosa a acastanhada, superficial, escamosa, com bordas ativas e claras no centro</t>
  </si>
  <si>
    <t>Leve a moderada. Paciente NÃO tem grandes áreas do corpo acometidas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</si>
</sst>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23"/>
      <color theme="1"/>
      <name val="Arial"/>
      <family val="2"/>
    </font>
    <font>
      <sz val="16"/>
      <color theme="1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4"/>
      <color theme="1"/>
      <name val="Arial"/>
      <family val="2"/>
    </font>
    <font>
      <b/>
      <sz val="14"/>
      <color rgb="FF000000"/>
      <name val="Arial"/>
      <family val="2"/>
    </font>
    <font>
      <b/>
      <sz val="13"/>
      <color rgb="FF000000"/>
      <name val="Arial"/>
      <family val="2"/>
    </font>
    <font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5"/>
      <color rgb="FF000000"/>
      <name val="Calibri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2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2" fillId="0" borderId="0" xfId="0" applyFont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2" xfId="0" applyBorder="1"/>
    <xf numFmtId="0" fontId="0" fillId="0" borderId="1" xfId="0" applyBorder="1" applyAlignment="1">
      <alignment horizontal="center" vertical="top"/>
    </xf>
    <xf numFmtId="0" fontId="7" fillId="0" borderId="4" xfId="0" applyFont="1" applyBorder="1" applyAlignment="1">
      <alignment readingOrder="1"/>
    </xf>
    <xf numFmtId="0" fontId="7" fillId="0" borderId="5" xfId="0" applyFont="1" applyBorder="1" applyAlignment="1">
      <alignment readingOrder="1"/>
    </xf>
    <xf numFmtId="0" fontId="7" fillId="0" borderId="6" xfId="0" applyFont="1" applyBorder="1" applyAlignment="1">
      <alignment readingOrder="1"/>
    </xf>
    <xf numFmtId="0" fontId="7" fillId="0" borderId="7" xfId="0" applyFont="1" applyBorder="1" applyAlignment="1">
      <alignment readingOrder="1"/>
    </xf>
    <xf numFmtId="0" fontId="7" fillId="0" borderId="8" xfId="0" applyFont="1" applyBorder="1" applyAlignment="1">
      <alignment readingOrder="1"/>
    </xf>
    <xf numFmtId="0" fontId="7" fillId="0" borderId="9" xfId="0" applyFont="1" applyBorder="1" applyAlignment="1">
      <alignment readingOrder="1"/>
    </xf>
    <xf numFmtId="0" fontId="7" fillId="0" borderId="10" xfId="0" applyFont="1" applyBorder="1" applyAlignment="1">
      <alignment readingOrder="1"/>
    </xf>
    <xf numFmtId="0" fontId="7" fillId="0" borderId="11" xfId="0" applyFont="1" applyBorder="1" applyAlignment="1">
      <alignment readingOrder="1"/>
    </xf>
    <xf numFmtId="0" fontId="7" fillId="0" borderId="12" xfId="0" applyFont="1" applyBorder="1" applyAlignment="1">
      <alignment readingOrder="1"/>
    </xf>
    <xf numFmtId="0" fontId="7" fillId="0" borderId="13" xfId="0" applyFont="1" applyBorder="1" applyAlignment="1">
      <alignment readingOrder="1"/>
    </xf>
    <xf numFmtId="0" fontId="7" fillId="0" borderId="14" xfId="0" applyFont="1" applyBorder="1" applyAlignment="1">
      <alignment readingOrder="1"/>
    </xf>
    <xf numFmtId="0" fontId="7" fillId="0" borderId="15" xfId="0" applyFont="1" applyBorder="1" applyAlignment="1">
      <alignment readingOrder="1"/>
    </xf>
    <xf numFmtId="0" fontId="7" fillId="0" borderId="16" xfId="0" applyFont="1" applyBorder="1" applyAlignment="1">
      <alignment readingOrder="1"/>
    </xf>
    <xf numFmtId="0" fontId="7" fillId="0" borderId="0" xfId="0" applyFont="1" applyAlignment="1">
      <alignment readingOrder="1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0" fillId="5" borderId="0" xfId="0" applyFill="1"/>
    <xf numFmtId="0" fontId="16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7" fillId="0" borderId="17" xfId="0" applyFont="1" applyBorder="1" applyAlignment="1">
      <alignment readingOrder="1"/>
    </xf>
    <xf numFmtId="0" fontId="11" fillId="0" borderId="0" xfId="0" applyFont="1" applyAlignment="1">
      <alignment readingOrder="1"/>
    </xf>
    <xf numFmtId="0" fontId="12" fillId="0" borderId="0" xfId="0" applyFont="1" applyAlignment="1">
      <alignment readingOrder="1"/>
    </xf>
    <xf numFmtId="22" fontId="15" fillId="0" borderId="0" xfId="0" applyNumberFormat="1" applyFont="1" applyAlignment="1">
      <alignment readingOrder="1"/>
    </xf>
    <xf numFmtId="0" fontId="12" fillId="0" borderId="0" xfId="0" applyFont="1" applyAlignment="1">
      <alignment horizontal="left" readingOrder="1"/>
    </xf>
    <xf numFmtId="0" fontId="13" fillId="0" borderId="0" xfId="0" applyFont="1" applyAlignment="1">
      <alignment readingOrder="1"/>
    </xf>
    <xf numFmtId="0" fontId="7" fillId="0" borderId="0" xfId="0" applyFont="1" applyAlignment="1">
      <alignment horizontal="center" readingOrder="1"/>
    </xf>
    <xf numFmtId="0" fontId="14" fillId="0" borderId="0" xfId="0" applyFont="1" applyAlignment="1">
      <alignment readingOrder="1"/>
    </xf>
    <xf numFmtId="0" fontId="0" fillId="3" borderId="1" xfId="0" applyFill="1" applyBorder="1"/>
    <xf numFmtId="0" fontId="0" fillId="2" borderId="0" xfId="0" applyFill="1"/>
    <xf numFmtId="0" fontId="16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readingOrder="1"/>
    </xf>
    <xf numFmtId="0" fontId="0" fillId="0" borderId="0" xfId="0" applyAlignment="1">
      <alignment readingOrder="1"/>
    </xf>
    <xf numFmtId="0" fontId="0" fillId="0" borderId="1" xfId="0" applyBorder="1" applyAlignment="1">
      <alignment readingOrder="1"/>
    </xf>
    <xf numFmtId="0" fontId="0" fillId="3" borderId="1" xfId="0" applyFill="1" applyBorder="1" applyAlignment="1">
      <alignment readingOrder="1"/>
    </xf>
    <xf numFmtId="0" fontId="0" fillId="5" borderId="1" xfId="0" applyFill="1" applyBorder="1" applyAlignment="1">
      <alignment readingOrder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readingOrder="1"/>
    </xf>
    <xf numFmtId="0" fontId="16" fillId="5" borderId="0" xfId="0" applyFont="1" applyFill="1" applyAlignment="1">
      <alignment horizontal="center"/>
    </xf>
    <xf numFmtId="0" fontId="19" fillId="0" borderId="0" xfId="0" applyFont="1" applyAlignment="1">
      <alignment wrapText="1"/>
    </xf>
    <xf numFmtId="0" fontId="0" fillId="7" borderId="1" xfId="0" applyFill="1" applyBorder="1"/>
    <xf numFmtId="0" fontId="0" fillId="7" borderId="0" xfId="0" applyFill="1"/>
    <xf numFmtId="0" fontId="0" fillId="8" borderId="1" xfId="0" applyFill="1" applyBorder="1"/>
    <xf numFmtId="0" fontId="0" fillId="8" borderId="1" xfId="0" applyFill="1" applyBorder="1" applyAlignment="1">
      <alignment vertical="top" wrapText="1"/>
    </xf>
    <xf numFmtId="0" fontId="0" fillId="8" borderId="0" xfId="0" applyFill="1"/>
    <xf numFmtId="0" fontId="0" fillId="8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16" fillId="2" borderId="0" xfId="0" applyFont="1" applyFill="1" applyAlignment="1">
      <alignment horizontal="left"/>
    </xf>
    <xf numFmtId="0" fontId="6" fillId="0" borderId="0" xfId="0" applyFont="1"/>
    <xf numFmtId="0" fontId="16" fillId="0" borderId="1" xfId="0" applyFont="1" applyBorder="1"/>
    <xf numFmtId="0" fontId="0" fillId="9" borderId="1" xfId="0" applyFill="1" applyBorder="1"/>
    <xf numFmtId="0" fontId="0" fillId="9" borderId="1" xfId="0" applyFill="1" applyBorder="1" applyAlignment="1">
      <alignment vertical="top" wrapText="1"/>
    </xf>
    <xf numFmtId="0" fontId="0" fillId="9" borderId="0" xfId="0" applyFill="1" applyAlignment="1">
      <alignment vertical="top" wrapText="1"/>
    </xf>
    <xf numFmtId="0" fontId="0" fillId="9" borderId="0" xfId="0" applyFill="1"/>
    <xf numFmtId="0" fontId="0" fillId="9" borderId="18" xfId="0" applyFill="1" applyBorder="1"/>
    <xf numFmtId="0" fontId="0" fillId="0" borderId="18" xfId="0" applyBorder="1"/>
    <xf numFmtId="0" fontId="0" fillId="7" borderId="18" xfId="0" applyFill="1" applyBorder="1"/>
    <xf numFmtId="0" fontId="16" fillId="0" borderId="1" xfId="0" applyFont="1" applyBorder="1" applyAlignment="1">
      <alignment wrapText="1"/>
    </xf>
    <xf numFmtId="0" fontId="16" fillId="0" borderId="20" xfId="0" applyFont="1" applyBorder="1"/>
    <xf numFmtId="0" fontId="6" fillId="0" borderId="1" xfId="0" applyFont="1" applyBorder="1"/>
    <xf numFmtId="0" fontId="21" fillId="0" borderId="0" xfId="0" applyFont="1" applyAlignment="1">
      <alignment readingOrder="1"/>
    </xf>
    <xf numFmtId="0" fontId="0" fillId="0" borderId="18" xfId="0" applyBorder="1" applyAlignment="1">
      <alignment wrapText="1"/>
    </xf>
    <xf numFmtId="0" fontId="0" fillId="0" borderId="21" xfId="0" applyBorder="1"/>
    <xf numFmtId="0" fontId="14" fillId="0" borderId="0" xfId="0" applyFont="1" applyAlignment="1">
      <alignment horizontal="center" readingOrder="1"/>
    </xf>
    <xf numFmtId="0" fontId="4" fillId="5" borderId="1" xfId="0" applyFont="1" applyFill="1" applyBorder="1"/>
    <xf numFmtId="0" fontId="16" fillId="0" borderId="1" xfId="0" applyFont="1" applyBorder="1" applyAlignment="1">
      <alignment vertical="top" wrapText="1"/>
    </xf>
    <xf numFmtId="0" fontId="0" fillId="0" borderId="0" xfId="0" applyAlignment="1">
      <alignment vertical="top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6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0" fillId="0" borderId="18" xfId="0" applyFont="1" applyBorder="1" applyAlignment="1">
      <alignment horizontal="center" readingOrder="1"/>
    </xf>
    <xf numFmtId="0" fontId="10" fillId="0" borderId="19" xfId="0" applyFont="1" applyBorder="1" applyAlignment="1">
      <alignment horizontal="center" readingOrder="1"/>
    </xf>
    <xf numFmtId="0" fontId="10" fillId="0" borderId="2" xfId="0" applyFont="1" applyBorder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9" fillId="0" borderId="0" xfId="0" applyFont="1" applyAlignment="1">
      <alignment horizontal="center" readingOrder="1"/>
    </xf>
    <xf numFmtId="0" fontId="0" fillId="0" borderId="0" xfId="0" applyBorder="1"/>
    <xf numFmtId="0" fontId="6" fillId="0" borderId="0" xfId="0" applyFont="1" applyFill="1"/>
    <xf numFmtId="0" fontId="0" fillId="0" borderId="0" xfId="0" applyFill="1"/>
    <xf numFmtId="0" fontId="16" fillId="0" borderId="1" xfId="0" applyFont="1" applyFill="1" applyBorder="1"/>
    <xf numFmtId="0" fontId="0" fillId="0" borderId="1" xfId="0" applyFill="1" applyBorder="1"/>
    <xf numFmtId="0" fontId="0" fillId="0" borderId="0" xfId="0" applyBorder="1" applyAlignment="1">
      <alignment vertical="top"/>
    </xf>
  </cellXfs>
  <cellStyles count="1">
    <cellStyle name="Normal" xfId="0" builtinId="0"/>
  </cellStyles>
  <dxfs count="1"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checked="Checked" firstButton="1" lockText="1" noThreeD="1"/>
</file>

<file path=xl/ctrlProps/ctrlProp14.xml><?xml version="1.0" encoding="utf-8"?>
<formControlPr xmlns="http://schemas.microsoft.com/office/spreadsheetml/2009/9/main" objectType="Radio" checked="Checked" firstButton="1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checked="Checked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firstButton="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17</xdr:row>
          <xdr:rowOff>76200</xdr:rowOff>
        </xdr:from>
        <xdr:to>
          <xdr:col>7</xdr:col>
          <xdr:colOff>371475</xdr:colOff>
          <xdr:row>18</xdr:row>
          <xdr:rowOff>95250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 ao Algoritmo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17</xdr:row>
          <xdr:rowOff>85725</xdr:rowOff>
        </xdr:from>
        <xdr:to>
          <xdr:col>8</xdr:col>
          <xdr:colOff>838200</xdr:colOff>
          <xdr:row>18</xdr:row>
          <xdr:rowOff>85725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0</xdr:rowOff>
        </xdr:from>
        <xdr:to>
          <xdr:col>2</xdr:col>
          <xdr:colOff>1247775</xdr:colOff>
          <xdr:row>11</xdr:row>
          <xdr:rowOff>9525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CALCULAR IMC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17</xdr:row>
          <xdr:rowOff>95250</xdr:rowOff>
        </xdr:from>
        <xdr:to>
          <xdr:col>6</xdr:col>
          <xdr:colOff>180975</xdr:colOff>
          <xdr:row>18</xdr:row>
          <xdr:rowOff>133350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Calcular Idade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9525</xdr:colOff>
      <xdr:row>3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04F4581-D40C-42E3-A5F9-46FD1552EF28}"/>
            </a:ext>
          </a:extLst>
        </xdr:cNvPr>
        <xdr:cNvSpPr/>
      </xdr:nvSpPr>
      <xdr:spPr>
        <a:xfrm>
          <a:off x="0" y="0"/>
          <a:ext cx="12677775" cy="12382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133350</xdr:colOff>
      <xdr:row>0</xdr:row>
      <xdr:rowOff>28575</xdr:rowOff>
    </xdr:from>
    <xdr:to>
      <xdr:col>0</xdr:col>
      <xdr:colOff>1323975</xdr:colOff>
      <xdr:row>2</xdr:row>
      <xdr:rowOff>571500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734AB58-4A3C-45B8-9A58-3CE83F34AE68}"/>
            </a:ext>
            <a:ext uri="{147F2762-F138-4A5C-976F-8EAC2B608ADB}">
              <a16:predDERef xmlns:a16="http://schemas.microsoft.com/office/drawing/2014/main" pred="{404F4581-D40C-42E3-A5F9-46FD1552E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8575"/>
          <a:ext cx="1190625" cy="1167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533400</xdr:colOff>
      <xdr:row>1</xdr:row>
      <xdr:rowOff>123824</xdr:rowOff>
    </xdr:from>
    <xdr:to>
      <xdr:col>8</xdr:col>
      <xdr:colOff>1571625</xdr:colOff>
      <xdr:row>2</xdr:row>
      <xdr:rowOff>523874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9766EAFD-ABCB-6B4A-A33A-94C32C485B23}"/>
            </a:ext>
          </a:extLst>
        </xdr:cNvPr>
        <xdr:cNvSpPr txBox="1"/>
      </xdr:nvSpPr>
      <xdr:spPr>
        <a:xfrm>
          <a:off x="3981450" y="314324"/>
          <a:ext cx="7696200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softEdge rad="12700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/>
            <a:t>Banco</a:t>
          </a:r>
          <a:r>
            <a:rPr lang="en-US" sz="4800" baseline="0"/>
            <a:t> De Dados - Pacientes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1</xdr:row>
          <xdr:rowOff>190500</xdr:rowOff>
        </xdr:from>
        <xdr:to>
          <xdr:col>2</xdr:col>
          <xdr:colOff>2543175</xdr:colOff>
          <xdr:row>1</xdr:row>
          <xdr:rowOff>276225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</xdr:row>
          <xdr:rowOff>85725</xdr:rowOff>
        </xdr:from>
        <xdr:to>
          <xdr:col>2</xdr:col>
          <xdr:colOff>1333500</xdr:colOff>
          <xdr:row>1</xdr:row>
          <xdr:rowOff>352425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Diagostico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2686050</xdr:colOff>
          <xdr:row>1</xdr:row>
          <xdr:rowOff>95250</xdr:rowOff>
        </xdr:from>
        <xdr:to>
          <xdr:col>2</xdr:col>
          <xdr:colOff>3943350</xdr:colOff>
          <xdr:row>1</xdr:row>
          <xdr:rowOff>361950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339966" mc:Ignorable="a14" a14:legacySpreadsheetColorIndex="57"/>
                  </a:solidFill>
                </a14:hiddenFill>
              </a:ext>
              <a:ext uri="{91240B29-F687-4F45-9708-019B960494DF}">
                <a14:hiddenLine w="15875">
                  <a:solidFill>
                    <a:srgbClr val="339966" mc:Ignorable="a14" a14:legacySpreadsheetColorIndex="57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COPIAR P/ RECEITUARIO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</xdr:row>
          <xdr:rowOff>171450</xdr:rowOff>
        </xdr:from>
        <xdr:to>
          <xdr:col>2</xdr:col>
          <xdr:colOff>1314450</xdr:colOff>
          <xdr:row>1</xdr:row>
          <xdr:rowOff>361950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1743075</xdr:colOff>
          <xdr:row>1</xdr:row>
          <xdr:rowOff>142875</xdr:rowOff>
        </xdr:from>
        <xdr:to>
          <xdr:col>2</xdr:col>
          <xdr:colOff>3190875</xdr:colOff>
          <xdr:row>1</xdr:row>
          <xdr:rowOff>419100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COPIAR P/ RECEITUARIO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1638300</xdr:colOff>
          <xdr:row>1</xdr:row>
          <xdr:rowOff>171450</xdr:rowOff>
        </xdr:from>
        <xdr:to>
          <xdr:col>2</xdr:col>
          <xdr:colOff>2724150</xdr:colOff>
          <xdr:row>1</xdr:row>
          <xdr:rowOff>381000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2962275</xdr:colOff>
          <xdr:row>1</xdr:row>
          <xdr:rowOff>142875</xdr:rowOff>
        </xdr:from>
        <xdr:to>
          <xdr:col>2</xdr:col>
          <xdr:colOff>4362450</xdr:colOff>
          <xdr:row>1</xdr:row>
          <xdr:rowOff>419100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COPIAR P/ RECEITUARIO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</xdr:row>
          <xdr:rowOff>247650</xdr:rowOff>
        </xdr:from>
        <xdr:to>
          <xdr:col>2</xdr:col>
          <xdr:colOff>1390650</xdr:colOff>
          <xdr:row>1</xdr:row>
          <xdr:rowOff>438150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</xdr:row>
          <xdr:rowOff>114300</xdr:rowOff>
        </xdr:from>
        <xdr:to>
          <xdr:col>2</xdr:col>
          <xdr:colOff>1619250</xdr:colOff>
          <xdr:row>1</xdr:row>
          <xdr:rowOff>314325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180975</xdr:rowOff>
        </xdr:from>
        <xdr:to>
          <xdr:col>2</xdr:col>
          <xdr:colOff>1266825</xdr:colOff>
          <xdr:row>1</xdr:row>
          <xdr:rowOff>381000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</xdr:row>
          <xdr:rowOff>247650</xdr:rowOff>
        </xdr:from>
        <xdr:to>
          <xdr:col>2</xdr:col>
          <xdr:colOff>1581150</xdr:colOff>
          <xdr:row>1</xdr:row>
          <xdr:rowOff>457200</xdr:rowOff>
        </xdr:to>
        <xdr:sp macro="" textlink="">
          <xdr:nvSpPr>
            <xdr:cNvPr id="11272" name="Option 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9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</xdr:row>
          <xdr:rowOff>171450</xdr:rowOff>
        </xdr:from>
        <xdr:to>
          <xdr:col>2</xdr:col>
          <xdr:colOff>1571625</xdr:colOff>
          <xdr:row>1</xdr:row>
          <xdr:rowOff>381000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A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361950</xdr:rowOff>
        </xdr:from>
        <xdr:to>
          <xdr:col>3</xdr:col>
          <xdr:colOff>1504950</xdr:colOff>
          <xdr:row>2</xdr:row>
          <xdr:rowOff>57150</xdr:rowOff>
        </xdr:to>
        <xdr:sp macro="" textlink="">
          <xdr:nvSpPr>
            <xdr:cNvPr id="13313" name="Option 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</xdr:row>
          <xdr:rowOff>219075</xdr:rowOff>
        </xdr:from>
        <xdr:to>
          <xdr:col>3</xdr:col>
          <xdr:colOff>1447800</xdr:colOff>
          <xdr:row>2</xdr:row>
          <xdr:rowOff>76200</xdr:rowOff>
        </xdr:to>
        <xdr:sp macro="" textlink="">
          <xdr:nvSpPr>
            <xdr:cNvPr id="14341" name="Option 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C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152400</xdr:rowOff>
        </xdr:from>
        <xdr:to>
          <xdr:col>4</xdr:col>
          <xdr:colOff>533400</xdr:colOff>
          <xdr:row>1</xdr:row>
          <xdr:rowOff>361950</xdr:rowOff>
        </xdr:to>
        <xdr:sp macro="" textlink="">
          <xdr:nvSpPr>
            <xdr:cNvPr id="17415" name="Option 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D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438150</xdr:colOff>
          <xdr:row>1</xdr:row>
          <xdr:rowOff>152400</xdr:rowOff>
        </xdr:from>
        <xdr:ext cx="1076325" cy="209550"/>
        <xdr:sp macro="" textlink="">
          <xdr:nvSpPr>
            <xdr:cNvPr id="17417" name="Option 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273D27D1-3AD2-4DDB-A636-F4DA08ABD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one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619125</xdr:colOff>
          <xdr:row>1</xdr:row>
          <xdr:rowOff>152400</xdr:rowOff>
        </xdr:from>
        <xdr:ext cx="1076325" cy="200025"/>
        <xdr:sp macro="" textlink="">
          <xdr:nvSpPr>
            <xdr:cNvPr id="16389" name="Option 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208BE4A1-8DD7-497A-932C-4250B2A0A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Diagnostico</a:t>
              </a:r>
            </a:p>
          </xdr:txBody>
        </xdr:sp>
        <xdr:clientData/>
      </xdr:one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95250</xdr:rowOff>
    </xdr:from>
    <xdr:to>
      <xdr:col>2</xdr:col>
      <xdr:colOff>628650</xdr:colOff>
      <xdr:row>4</xdr:row>
      <xdr:rowOff>142875</xdr:rowOff>
    </xdr:to>
    <xdr:pic>
      <xdr:nvPicPr>
        <xdr:cNvPr id="30" name="Imagem 1">
          <a:extLst>
            <a:ext uri="{FF2B5EF4-FFF2-40B4-BE49-F238E27FC236}">
              <a16:creationId xmlns:a16="http://schemas.microsoft.com/office/drawing/2014/main" id="{D0512795-96A1-FC15-CEC1-B40D8AC8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95250"/>
          <a:ext cx="1200150" cy="1057275"/>
        </a:xfrm>
        <a:prstGeom prst="rect">
          <a:avLst/>
        </a:prstGeom>
      </xdr:spPr>
    </xdr:pic>
    <xdr:clientData/>
  </xdr:twoCellAnchor>
  <xdr:twoCellAnchor editAs="oneCell">
    <xdr:from>
      <xdr:col>4</xdr:col>
      <xdr:colOff>332373</xdr:colOff>
      <xdr:row>62</xdr:row>
      <xdr:rowOff>113297</xdr:rowOff>
    </xdr:from>
    <xdr:to>
      <xdr:col>8</xdr:col>
      <xdr:colOff>360948</xdr:colOff>
      <xdr:row>71</xdr:row>
      <xdr:rowOff>143377</xdr:rowOff>
    </xdr:to>
    <xdr:pic>
      <xdr:nvPicPr>
        <xdr:cNvPr id="42" name="Imagem 3">
          <a:extLst>
            <a:ext uri="{FF2B5EF4-FFF2-40B4-BE49-F238E27FC236}">
              <a16:creationId xmlns:a16="http://schemas.microsoft.com/office/drawing/2014/main" id="{4AEC4F2C-AACE-06F3-DE90-6C225091EA47}"/>
            </a:ext>
            <a:ext uri="{147F2762-F138-4A5C-976F-8EAC2B608ADB}">
              <a16:predDERef xmlns:a16="http://schemas.microsoft.com/office/drawing/2014/main" pred="{D0512795-96A1-FC15-CEC1-B40D8AC8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1478" y="11824034"/>
          <a:ext cx="2474996" cy="1654342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09A868-6C0A-4F5D-B77F-0D8AEA840529}" name="Tabela13" displayName="Tabela13" ref="A4:I24" totalsRowShown="0">
  <autoFilter ref="A4:I24" xr:uid="{4209A868-6C0A-4F5D-B77F-0D8AEA840529}"/>
  <tableColumns count="9">
    <tableColumn id="1" xr3:uid="{2FB0162A-3B0D-4FFB-B9C1-7A365F034DD4}" name="Data_Nascimento"/>
    <tableColumn id="2" xr3:uid="{2E6C58FA-EEA8-4C8C-A339-1F553E9EE04E}" name="Sexo"/>
    <tableColumn id="3" xr3:uid="{91E042B6-62F9-4639-A114-62EFE478773D}" name="Altura (m)"/>
    <tableColumn id="4" xr3:uid="{87AD8187-8592-44DC-A956-2D5771C70F55}" name="Peso (kg)"/>
    <tableColumn id="5" xr3:uid="{F0F5AF27-7D2F-48C1-8CE1-2F985D216194}" name="IMC"/>
    <tableColumn id="7" xr3:uid="{FFDD344A-BD6D-43C4-9C7F-780A7D316430}" name="Queixa"/>
    <tableColumn id="8" xr3:uid="{35AF10C2-7DD6-4345-AF20-70466B88512C}" name="Data_Consulta"/>
    <tableColumn id="9" xr3:uid="{475E879D-AC07-4C64-B681-79C79F671081}" name="Condição"/>
    <tableColumn id="10" xr3:uid="{FDE78C4F-03C1-492D-9590-C11EFBE0D1D4}" name="Medicamento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G19"/>
  <sheetViews>
    <sheetView showGridLines="0" topLeftCell="A2" zoomScaleNormal="100" workbookViewId="0">
      <selection activeCell="C9" sqref="C9"/>
    </sheetView>
  </sheetViews>
  <sheetFormatPr defaultRowHeight="15" x14ac:dyDescent="0.25"/>
  <cols>
    <col min="2" max="2" width="9.42578125" customWidth="1"/>
    <col min="3" max="3" width="23.42578125" customWidth="1"/>
    <col min="4" max="4" width="27.7109375" customWidth="1"/>
    <col min="7" max="7" width="13.7109375" customWidth="1"/>
    <col min="9" max="9" width="18.140625" customWidth="1"/>
  </cols>
  <sheetData>
    <row r="2" spans="2:7" ht="54" customHeight="1" x14ac:dyDescent="0.45">
      <c r="B2" t="e" vm="1">
        <v>#VALUE!</v>
      </c>
      <c r="C2" s="12" t="s">
        <v>0</v>
      </c>
      <c r="D2" s="8"/>
      <c r="E2" s="8"/>
      <c r="F2" s="8"/>
      <c r="G2" s="8"/>
    </row>
    <row r="5" spans="2:7" ht="16.5" customHeight="1" x14ac:dyDescent="0.4">
      <c r="C5" s="1"/>
    </row>
    <row r="8" spans="2:7" x14ac:dyDescent="0.25">
      <c r="C8" s="15" t="s">
        <v>1</v>
      </c>
    </row>
    <row r="9" spans="2:7" ht="15.75" customHeight="1" x14ac:dyDescent="0.25">
      <c r="C9" s="3" t="s">
        <v>2</v>
      </c>
    </row>
    <row r="11" spans="2:7" x14ac:dyDescent="0.25">
      <c r="C11" s="4"/>
    </row>
    <row r="12" spans="2:7" x14ac:dyDescent="0.25">
      <c r="C12" s="4" t="s">
        <v>3</v>
      </c>
      <c r="D12" s="14">
        <v>60</v>
      </c>
    </row>
    <row r="13" spans="2:7" x14ac:dyDescent="0.25">
      <c r="C13" s="4" t="s">
        <v>4</v>
      </c>
      <c r="D13" s="14">
        <v>1.77</v>
      </c>
    </row>
    <row r="15" spans="2:7" x14ac:dyDescent="0.25">
      <c r="C15" s="4" t="s">
        <v>5</v>
      </c>
      <c r="D15" s="4">
        <v>19.149999999999999</v>
      </c>
    </row>
    <row r="16" spans="2:7" x14ac:dyDescent="0.25">
      <c r="C16" s="4" t="s">
        <v>6</v>
      </c>
      <c r="D16" s="4">
        <v>17</v>
      </c>
    </row>
    <row r="17" spans="3:4" x14ac:dyDescent="0.25">
      <c r="C17" s="4" t="s">
        <v>7</v>
      </c>
      <c r="D17" s="4" t="s">
        <v>8</v>
      </c>
    </row>
    <row r="18" spans="3:4" x14ac:dyDescent="0.25">
      <c r="C18" s="4" t="s">
        <v>9</v>
      </c>
      <c r="D18" s="4" t="s">
        <v>10</v>
      </c>
    </row>
    <row r="19" spans="3:4" x14ac:dyDescent="0.25">
      <c r="C19" s="4" t="s">
        <v>11</v>
      </c>
      <c r="D19" s="4" t="s">
        <v>12</v>
      </c>
    </row>
  </sheetData>
  <dataValidations count="4">
    <dataValidation type="list" allowBlank="1" showInputMessage="1" showErrorMessage="1" sqref="C9" xr:uid="{00000000-0002-0000-0000-000000000000}">
      <formula1>"Espirro e congestão nasal, Dor lombar, Dor de garganta, Dismenorreia, Febre, Infecções Fúngicas Superficiais, Dor de cabeça, Azia e má digestão, Queimadura solar e fotoproteção, Constipação, Hemorroidas, Diarreia, Tosse"</formula1>
    </dataValidation>
    <dataValidation type="list" allowBlank="1" showInputMessage="1" showErrorMessage="1" sqref="D17" xr:uid="{8F6294E7-878E-449E-BA61-0BA8286C2110}">
      <formula1>"M,F,"</formula1>
    </dataValidation>
    <dataValidation type="list" allowBlank="1" showInputMessage="1" showErrorMessage="1" sqref="D18" xr:uid="{0BC6A9B9-D6F3-4526-9C25-5419A9550DB5}">
      <formula1>"Sim, Não,"</formula1>
    </dataValidation>
    <dataValidation type="list" allowBlank="1" showInputMessage="1" showErrorMessage="1" sqref="D19" xr:uid="{CA173CD7-9782-44F3-9978-4500A151C308}">
      <formula1>"Ligeiro, Moderado, Acentuado"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Option Button 3">
              <controlPr defaultSize="0" autoFill="0" autoLine="0" autoPict="0" macro="[0]!NavegarParaAbaSelecionada">
                <anchor moveWithCells="1">
                  <from>
                    <xdr:col>6</xdr:col>
                    <xdr:colOff>209550</xdr:colOff>
                    <xdr:row>17</xdr:row>
                    <xdr:rowOff>76200</xdr:rowOff>
                  </from>
                  <to>
                    <xdr:col>7</xdr:col>
                    <xdr:colOff>371475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Option Button 4">
              <controlPr defaultSize="0" autoFill="0" autoLine="0" autoPict="0" macro="[0]!LimparValoresTemporarios">
                <anchor moveWithCells="1">
                  <from>
                    <xdr:col>7</xdr:col>
                    <xdr:colOff>419100</xdr:colOff>
                    <xdr:row>17</xdr:row>
                    <xdr:rowOff>85725</xdr:rowOff>
                  </from>
                  <to>
                    <xdr:col>8</xdr:col>
                    <xdr:colOff>838200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CalcularIMC">
                <anchor mov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1247775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PerguntarDataNascimento">
                <anchor moveWithCells="1">
                  <from>
                    <xdr:col>4</xdr:col>
                    <xdr:colOff>342900</xdr:colOff>
                    <xdr:row>17</xdr:row>
                    <xdr:rowOff>95250</xdr:rowOff>
                  </from>
                  <to>
                    <xdr:col>6</xdr:col>
                    <xdr:colOff>180975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95D4-F2BF-4251-B556-A91219D5F425}">
  <sheetPr codeName="Planilha19"/>
  <dimension ref="A1:I45"/>
  <sheetViews>
    <sheetView workbookViewId="0">
      <selection activeCell="D1" sqref="C1:D1048576"/>
    </sheetView>
  </sheetViews>
  <sheetFormatPr defaultRowHeight="15" x14ac:dyDescent="0.25"/>
  <cols>
    <col min="1" max="1" width="24.28515625" customWidth="1"/>
    <col min="3" max="3" width="18.42578125" customWidth="1"/>
    <col min="4" max="4" width="19" customWidth="1"/>
    <col min="5" max="5" width="17.140625" customWidth="1"/>
    <col min="6" max="6" width="31" customWidth="1"/>
    <col min="7" max="7" width="22.42578125" customWidth="1"/>
    <col min="8" max="8" width="38.7109375" customWidth="1"/>
    <col min="9" max="9" width="38.42578125" customWidth="1"/>
  </cols>
  <sheetData>
    <row r="1" spans="1:9" x14ac:dyDescent="0.25">
      <c r="A1" s="30"/>
      <c r="B1" s="30"/>
      <c r="C1" s="30"/>
      <c r="D1" s="30"/>
      <c r="E1" s="30"/>
      <c r="F1" s="30"/>
      <c r="G1" s="30"/>
      <c r="H1" s="31"/>
      <c r="I1" s="30"/>
    </row>
    <row r="2" spans="1:9" ht="35.25" customHeight="1" x14ac:dyDescent="0.25">
      <c r="A2" s="30"/>
      <c r="B2" s="30"/>
      <c r="C2" s="30"/>
      <c r="D2" s="30"/>
      <c r="E2" s="30"/>
      <c r="F2" s="30"/>
      <c r="G2" s="30"/>
      <c r="H2" s="31"/>
      <c r="I2" s="30"/>
    </row>
    <row r="3" spans="1:9" ht="46.5" customHeight="1" x14ac:dyDescent="0.25">
      <c r="A3" s="30"/>
      <c r="B3" s="30"/>
      <c r="C3" s="30"/>
      <c r="D3" s="30"/>
      <c r="E3" s="30"/>
      <c r="F3" s="30"/>
      <c r="G3" s="30"/>
      <c r="H3" s="31"/>
      <c r="I3" s="32"/>
    </row>
    <row r="4" spans="1:9" x14ac:dyDescent="0.25">
      <c r="A4" s="33" t="s">
        <v>13</v>
      </c>
      <c r="B4" s="33" t="s">
        <v>14</v>
      </c>
      <c r="C4" s="33" t="s">
        <v>15</v>
      </c>
      <c r="D4" s="33" t="s">
        <v>16</v>
      </c>
      <c r="E4" s="33" t="s">
        <v>17</v>
      </c>
      <c r="F4" s="33" t="s">
        <v>18</v>
      </c>
      <c r="G4" s="33" t="s">
        <v>19</v>
      </c>
      <c r="H4" s="33" t="s">
        <v>20</v>
      </c>
      <c r="I4" s="33" t="s">
        <v>21</v>
      </c>
    </row>
    <row r="5" spans="1:9" x14ac:dyDescent="0.25">
      <c r="A5" s="34">
        <v>33005</v>
      </c>
      <c r="B5" s="35" t="s">
        <v>8</v>
      </c>
      <c r="C5" s="35">
        <v>1.78</v>
      </c>
      <c r="D5" s="35">
        <v>82</v>
      </c>
      <c r="E5" s="35">
        <v>25.9</v>
      </c>
      <c r="F5" s="35" t="s">
        <v>22</v>
      </c>
      <c r="G5" s="34">
        <v>45726</v>
      </c>
      <c r="H5" s="35" t="s">
        <v>23</v>
      </c>
      <c r="I5" s="35" t="s">
        <v>24</v>
      </c>
    </row>
    <row r="6" spans="1:9" x14ac:dyDescent="0.25">
      <c r="A6" s="34">
        <v>31310</v>
      </c>
      <c r="B6" s="35" t="s">
        <v>25</v>
      </c>
      <c r="C6" s="35">
        <v>1.62</v>
      </c>
      <c r="D6" s="35">
        <v>70</v>
      </c>
      <c r="E6" s="35">
        <v>26.7</v>
      </c>
      <c r="F6" s="35" t="s">
        <v>26</v>
      </c>
      <c r="G6" s="34">
        <v>45727</v>
      </c>
      <c r="H6" s="35" t="s">
        <v>27</v>
      </c>
      <c r="I6" s="35" t="s">
        <v>28</v>
      </c>
    </row>
    <row r="7" spans="1:9" x14ac:dyDescent="0.25">
      <c r="A7" s="34">
        <v>36528</v>
      </c>
      <c r="B7" s="35" t="s">
        <v>8</v>
      </c>
      <c r="C7" s="35">
        <v>1.85</v>
      </c>
      <c r="D7" s="35">
        <v>95</v>
      </c>
      <c r="E7" s="35">
        <v>27.8</v>
      </c>
      <c r="F7" s="35" t="s">
        <v>29</v>
      </c>
      <c r="G7" s="34">
        <v>45728</v>
      </c>
      <c r="H7" s="35" t="s">
        <v>30</v>
      </c>
      <c r="I7" s="35" t="s">
        <v>31</v>
      </c>
    </row>
    <row r="8" spans="1:9" x14ac:dyDescent="0.25">
      <c r="A8" s="34">
        <v>28819</v>
      </c>
      <c r="B8" s="35" t="s">
        <v>8</v>
      </c>
      <c r="C8" s="35">
        <v>1.72</v>
      </c>
      <c r="D8" s="35">
        <v>100</v>
      </c>
      <c r="E8" s="35">
        <v>33.799999999999997</v>
      </c>
      <c r="F8" s="35" t="s">
        <v>32</v>
      </c>
      <c r="G8" s="34">
        <v>45729</v>
      </c>
      <c r="H8" s="35" t="s">
        <v>33</v>
      </c>
      <c r="I8" s="35" t="s">
        <v>34</v>
      </c>
    </row>
    <row r="9" spans="1:9" x14ac:dyDescent="0.25">
      <c r="A9" s="34">
        <v>37661</v>
      </c>
      <c r="B9" s="35" t="s">
        <v>25</v>
      </c>
      <c r="C9" s="35">
        <v>1.6</v>
      </c>
      <c r="D9" s="35">
        <v>52</v>
      </c>
      <c r="E9" s="35">
        <v>20.3</v>
      </c>
      <c r="F9" s="35" t="s">
        <v>35</v>
      </c>
      <c r="G9" s="34">
        <v>45729</v>
      </c>
      <c r="H9" s="35" t="s">
        <v>36</v>
      </c>
      <c r="I9" s="35" t="s">
        <v>37</v>
      </c>
    </row>
    <row r="10" spans="1:9" x14ac:dyDescent="0.25">
      <c r="A10" s="34">
        <v>32492</v>
      </c>
      <c r="B10" s="35" t="s">
        <v>25</v>
      </c>
      <c r="C10" s="35">
        <v>1.65</v>
      </c>
      <c r="D10" s="35">
        <v>85</v>
      </c>
      <c r="E10" s="35">
        <v>31.2</v>
      </c>
      <c r="F10" s="35" t="s">
        <v>38</v>
      </c>
      <c r="G10" s="34">
        <v>45730</v>
      </c>
      <c r="H10" s="35" t="s">
        <v>39</v>
      </c>
      <c r="I10" s="35" t="s">
        <v>40</v>
      </c>
    </row>
    <row r="11" spans="1:9" x14ac:dyDescent="0.25">
      <c r="A11" s="34">
        <v>25665</v>
      </c>
      <c r="B11" s="35" t="s">
        <v>8</v>
      </c>
      <c r="C11" s="35">
        <v>1.74</v>
      </c>
      <c r="D11" s="35">
        <v>110</v>
      </c>
      <c r="E11" s="35">
        <v>36.299999999999997</v>
      </c>
      <c r="F11" s="35" t="s">
        <v>41</v>
      </c>
      <c r="G11" s="34">
        <v>45731</v>
      </c>
      <c r="H11" s="35" t="s">
        <v>42</v>
      </c>
      <c r="I11" s="35" t="s">
        <v>43</v>
      </c>
    </row>
    <row r="12" spans="1:9" x14ac:dyDescent="0.25">
      <c r="A12" s="34">
        <v>38586</v>
      </c>
      <c r="B12" s="35" t="s">
        <v>25</v>
      </c>
      <c r="C12" s="35">
        <v>1.7</v>
      </c>
      <c r="D12" s="35">
        <v>60</v>
      </c>
      <c r="E12" s="35">
        <v>20.8</v>
      </c>
      <c r="F12" s="35" t="s">
        <v>44</v>
      </c>
      <c r="G12" s="34">
        <v>45731</v>
      </c>
      <c r="H12" s="35" t="s">
        <v>23</v>
      </c>
      <c r="I12" s="35" t="s">
        <v>45</v>
      </c>
    </row>
    <row r="13" spans="1:9" x14ac:dyDescent="0.25">
      <c r="A13" s="34">
        <v>34894</v>
      </c>
      <c r="B13" s="35" t="s">
        <v>25</v>
      </c>
      <c r="C13" s="35">
        <v>1.68</v>
      </c>
      <c r="D13" s="35">
        <v>63</v>
      </c>
      <c r="E13" s="35">
        <v>22.3</v>
      </c>
      <c r="F13" s="35" t="s">
        <v>2</v>
      </c>
      <c r="G13" s="34">
        <v>45752</v>
      </c>
      <c r="H13" s="35" t="s">
        <v>46</v>
      </c>
      <c r="I13" s="35" t="s">
        <v>47</v>
      </c>
    </row>
    <row r="14" spans="1:9" x14ac:dyDescent="0.25">
      <c r="A14" s="34">
        <v>29985</v>
      </c>
      <c r="B14" s="35" t="s">
        <v>8</v>
      </c>
      <c r="C14" s="35">
        <v>1.8</v>
      </c>
      <c r="D14" s="35">
        <v>88</v>
      </c>
      <c r="E14" s="35">
        <v>27.2</v>
      </c>
      <c r="F14" s="35" t="s">
        <v>48</v>
      </c>
      <c r="G14" s="34">
        <v>45754</v>
      </c>
      <c r="H14" s="35" t="s">
        <v>49</v>
      </c>
      <c r="I14" s="35" t="s">
        <v>50</v>
      </c>
    </row>
    <row r="15" spans="1:9" x14ac:dyDescent="0.25">
      <c r="A15" s="34">
        <v>37153</v>
      </c>
      <c r="B15" s="35" t="s">
        <v>25</v>
      </c>
      <c r="C15" s="35">
        <v>1.63</v>
      </c>
      <c r="D15" s="35">
        <v>56</v>
      </c>
      <c r="E15" s="35">
        <v>21.1</v>
      </c>
      <c r="F15" s="35" t="s">
        <v>51</v>
      </c>
      <c r="G15" s="34">
        <v>45787</v>
      </c>
      <c r="H15" s="35" t="s">
        <v>46</v>
      </c>
      <c r="I15" s="35" t="s">
        <v>52</v>
      </c>
    </row>
    <row r="16" spans="1:9" x14ac:dyDescent="0.25">
      <c r="A16" s="34">
        <v>28456</v>
      </c>
      <c r="B16" s="35" t="s">
        <v>8</v>
      </c>
      <c r="C16" s="35">
        <v>1.75</v>
      </c>
      <c r="D16" s="35">
        <v>92</v>
      </c>
      <c r="E16" s="35">
        <v>30</v>
      </c>
      <c r="F16" s="35" t="s">
        <v>53</v>
      </c>
      <c r="G16" s="34">
        <v>45789</v>
      </c>
      <c r="H16" s="35" t="s">
        <v>54</v>
      </c>
      <c r="I16" s="35" t="s">
        <v>55</v>
      </c>
    </row>
    <row r="17" spans="1:9" x14ac:dyDescent="0.25">
      <c r="A17" s="34">
        <v>36322</v>
      </c>
      <c r="B17" s="35" t="s">
        <v>25</v>
      </c>
      <c r="C17" s="35">
        <v>1.66</v>
      </c>
      <c r="D17" s="35">
        <v>61</v>
      </c>
      <c r="E17" s="35">
        <v>22.1</v>
      </c>
      <c r="F17" s="35" t="s">
        <v>56</v>
      </c>
      <c r="G17" s="34">
        <v>45828</v>
      </c>
      <c r="H17" s="35" t="s">
        <v>23</v>
      </c>
      <c r="I17" s="35" t="s">
        <v>57</v>
      </c>
    </row>
    <row r="18" spans="1:9" x14ac:dyDescent="0.25">
      <c r="A18" s="34">
        <v>30776</v>
      </c>
      <c r="B18" s="35" t="s">
        <v>8</v>
      </c>
      <c r="C18" s="35">
        <v>1.82</v>
      </c>
      <c r="D18" s="35">
        <v>97</v>
      </c>
      <c r="E18" s="35">
        <v>29.3</v>
      </c>
      <c r="F18" s="35" t="s">
        <v>58</v>
      </c>
      <c r="G18" s="34">
        <v>45829</v>
      </c>
      <c r="H18" s="35" t="s">
        <v>27</v>
      </c>
      <c r="I18" s="35" t="s">
        <v>59</v>
      </c>
    </row>
    <row r="19" spans="1:9" x14ac:dyDescent="0.25">
      <c r="A19" s="34">
        <v>35368</v>
      </c>
      <c r="B19" s="35" t="s">
        <v>25</v>
      </c>
      <c r="C19" s="35">
        <v>1.7</v>
      </c>
      <c r="D19" s="35">
        <v>65</v>
      </c>
      <c r="E19" s="35">
        <v>22.5</v>
      </c>
      <c r="F19" s="35" t="s">
        <v>60</v>
      </c>
      <c r="G19" s="34">
        <v>45840</v>
      </c>
      <c r="H19" s="35" t="s">
        <v>36</v>
      </c>
      <c r="I19" s="35" t="s">
        <v>61</v>
      </c>
    </row>
    <row r="20" spans="1:9" x14ac:dyDescent="0.25">
      <c r="A20" s="34">
        <v>26672</v>
      </c>
      <c r="B20" s="35" t="s">
        <v>8</v>
      </c>
      <c r="C20" s="35">
        <v>1.78</v>
      </c>
      <c r="D20" s="35">
        <v>85</v>
      </c>
      <c r="E20" s="35">
        <v>26.8</v>
      </c>
      <c r="F20" s="35" t="s">
        <v>62</v>
      </c>
      <c r="G20" s="34">
        <v>45848</v>
      </c>
      <c r="H20" s="35" t="s">
        <v>63</v>
      </c>
      <c r="I20" s="35" t="s">
        <v>64</v>
      </c>
    </row>
    <row r="21" spans="1:9" x14ac:dyDescent="0.25">
      <c r="A21" s="34">
        <v>31849</v>
      </c>
      <c r="B21" s="35" t="s">
        <v>8</v>
      </c>
      <c r="C21" s="35">
        <v>1.74</v>
      </c>
      <c r="D21" s="35">
        <v>91</v>
      </c>
      <c r="E21" s="35">
        <v>30.1</v>
      </c>
      <c r="F21" s="35" t="s">
        <v>65</v>
      </c>
      <c r="G21" s="34">
        <v>45884</v>
      </c>
      <c r="H21" s="35" t="s">
        <v>33</v>
      </c>
      <c r="I21" s="35" t="s">
        <v>66</v>
      </c>
    </row>
    <row r="22" spans="1:9" x14ac:dyDescent="0.25">
      <c r="A22" s="34">
        <v>38129</v>
      </c>
      <c r="B22" s="35" t="s">
        <v>25</v>
      </c>
      <c r="C22" s="35">
        <v>1.59</v>
      </c>
      <c r="D22" s="35">
        <v>54</v>
      </c>
      <c r="E22" s="35">
        <v>21.4</v>
      </c>
      <c r="F22" s="35" t="s">
        <v>67</v>
      </c>
      <c r="G22" s="34">
        <v>45920</v>
      </c>
      <c r="H22" s="35" t="s">
        <v>36</v>
      </c>
      <c r="I22" s="35" t="s">
        <v>68</v>
      </c>
    </row>
    <row r="23" spans="1:9" x14ac:dyDescent="0.25">
      <c r="A23" s="34">
        <v>33939</v>
      </c>
      <c r="B23" s="35" t="s">
        <v>25</v>
      </c>
      <c r="C23" s="35">
        <v>1.68</v>
      </c>
      <c r="D23" s="35">
        <v>70</v>
      </c>
      <c r="E23" s="35">
        <v>24.8</v>
      </c>
      <c r="F23" s="35" t="s">
        <v>69</v>
      </c>
      <c r="G23" s="34">
        <v>45955</v>
      </c>
      <c r="H23" s="35" t="s">
        <v>46</v>
      </c>
      <c r="I23" s="35" t="s">
        <v>70</v>
      </c>
    </row>
    <row r="24" spans="1:9" x14ac:dyDescent="0.25">
      <c r="A24" s="34">
        <v>29450</v>
      </c>
      <c r="B24" s="35" t="s">
        <v>8</v>
      </c>
      <c r="C24" s="35">
        <v>1.81</v>
      </c>
      <c r="D24" s="35">
        <v>89</v>
      </c>
      <c r="E24" s="35">
        <v>27.1</v>
      </c>
      <c r="F24" s="35" t="s">
        <v>71</v>
      </c>
      <c r="G24" s="34">
        <v>45963</v>
      </c>
      <c r="H24" s="35" t="s">
        <v>23</v>
      </c>
      <c r="I24" s="35" t="s">
        <v>72</v>
      </c>
    </row>
    <row r="25" spans="1:9" x14ac:dyDescent="0.25">
      <c r="I25" s="35"/>
    </row>
    <row r="26" spans="1:9" x14ac:dyDescent="0.25">
      <c r="B26" t="s">
        <v>73</v>
      </c>
      <c r="I26" s="35"/>
    </row>
    <row r="27" spans="1:9" x14ac:dyDescent="0.25">
      <c r="I27" s="35"/>
    </row>
    <row r="28" spans="1:9" x14ac:dyDescent="0.25">
      <c r="I28" s="35"/>
    </row>
    <row r="29" spans="1:9" x14ac:dyDescent="0.25">
      <c r="I29" s="35"/>
    </row>
    <row r="30" spans="1:9" x14ac:dyDescent="0.25">
      <c r="I30" s="35"/>
    </row>
    <row r="31" spans="1:9" x14ac:dyDescent="0.25">
      <c r="I31" s="35"/>
    </row>
    <row r="32" spans="1:9" x14ac:dyDescent="0.25">
      <c r="I32" s="35"/>
    </row>
    <row r="33" spans="9:9" x14ac:dyDescent="0.25">
      <c r="I33" s="35"/>
    </row>
    <row r="34" spans="9:9" x14ac:dyDescent="0.25">
      <c r="I34" s="35"/>
    </row>
    <row r="35" spans="9:9" x14ac:dyDescent="0.25">
      <c r="I35" s="35"/>
    </row>
    <row r="36" spans="9:9" x14ac:dyDescent="0.25">
      <c r="I36" s="35"/>
    </row>
    <row r="37" spans="9:9" x14ac:dyDescent="0.25">
      <c r="I37" s="35"/>
    </row>
    <row r="38" spans="9:9" x14ac:dyDescent="0.25">
      <c r="I38" s="35"/>
    </row>
    <row r="39" spans="9:9" x14ac:dyDescent="0.25">
      <c r="I39" s="35"/>
    </row>
    <row r="40" spans="9:9" x14ac:dyDescent="0.25">
      <c r="I40" s="35"/>
    </row>
    <row r="41" spans="9:9" x14ac:dyDescent="0.25">
      <c r="I41" s="35"/>
    </row>
    <row r="42" spans="9:9" x14ac:dyDescent="0.25">
      <c r="I42" s="35"/>
    </row>
    <row r="43" spans="9:9" x14ac:dyDescent="0.25">
      <c r="I43" s="35"/>
    </row>
    <row r="44" spans="9:9" x14ac:dyDescent="0.25">
      <c r="I44" s="35"/>
    </row>
    <row r="45" spans="9:9" x14ac:dyDescent="0.25">
      <c r="I45" s="35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86010-2A9D-4993-A753-ACF2BC180FD4}">
  <sheetPr codeName="Planilha16"/>
  <dimension ref="B2:N382"/>
  <sheetViews>
    <sheetView showGridLines="0" zoomScale="65" zoomScaleNormal="65" workbookViewId="0">
      <selection activeCell="F41" sqref="F41"/>
    </sheetView>
  </sheetViews>
  <sheetFormatPr defaultRowHeight="15" x14ac:dyDescent="0.25"/>
  <cols>
    <col min="2" max="2" width="20.140625" bestFit="1" customWidth="1"/>
    <col min="3" max="3" width="29.7109375" bestFit="1" customWidth="1"/>
    <col min="4" max="4" width="21.42578125" bestFit="1" customWidth="1"/>
    <col min="5" max="5" width="14.140625" bestFit="1" customWidth="1"/>
    <col min="6" max="6" width="44.28515625" bestFit="1" customWidth="1"/>
    <col min="7" max="7" width="41.7109375" bestFit="1" customWidth="1"/>
    <col min="8" max="8" width="102.5703125" bestFit="1" customWidth="1"/>
  </cols>
  <sheetData>
    <row r="2" spans="2:8" ht="14.45" customHeight="1" x14ac:dyDescent="0.25">
      <c r="B2" s="88" t="s">
        <v>74</v>
      </c>
      <c r="C2" s="89"/>
      <c r="D2" s="89"/>
      <c r="E2" s="89"/>
      <c r="F2" s="89"/>
    </row>
    <row r="3" spans="2:8" ht="14.45" customHeight="1" x14ac:dyDescent="0.25">
      <c r="B3" s="89"/>
      <c r="C3" s="89"/>
      <c r="D3" s="89"/>
      <c r="E3" s="89"/>
      <c r="F3" s="89"/>
    </row>
    <row r="4" spans="2:8" ht="14.45" customHeight="1" x14ac:dyDescent="0.25">
      <c r="B4" s="89"/>
      <c r="C4" s="89"/>
      <c r="D4" s="89"/>
      <c r="E4" s="89"/>
      <c r="F4" s="89"/>
    </row>
    <row r="6" spans="2:8" x14ac:dyDescent="0.25">
      <c r="B6" s="90" t="s">
        <v>2</v>
      </c>
      <c r="C6" s="91"/>
    </row>
    <row r="7" spans="2:8" x14ac:dyDescent="0.25">
      <c r="B7" s="44" t="s">
        <v>75</v>
      </c>
      <c r="C7" s="44" t="s">
        <v>76</v>
      </c>
      <c r="D7" s="44" t="s">
        <v>77</v>
      </c>
      <c r="E7" s="44" t="s">
        <v>78</v>
      </c>
      <c r="F7" s="44" t="s">
        <v>79</v>
      </c>
      <c r="G7" s="44" t="s">
        <v>80</v>
      </c>
      <c r="H7" s="44" t="s">
        <v>81</v>
      </c>
    </row>
    <row r="8" spans="2:8" x14ac:dyDescent="0.25">
      <c r="B8" s="4" t="s">
        <v>82</v>
      </c>
      <c r="C8" s="4" t="s">
        <v>83</v>
      </c>
      <c r="D8" s="4" t="s">
        <v>84</v>
      </c>
      <c r="E8" s="4" t="s">
        <v>85</v>
      </c>
      <c r="F8" s="4" t="s">
        <v>86</v>
      </c>
      <c r="G8" s="4" t="s">
        <v>87</v>
      </c>
      <c r="H8" s="4" t="s">
        <v>88</v>
      </c>
    </row>
    <row r="9" spans="2:8" x14ac:dyDescent="0.25">
      <c r="B9" s="4" t="s">
        <v>82</v>
      </c>
      <c r="C9" s="4" t="s">
        <v>83</v>
      </c>
      <c r="D9" s="4" t="s">
        <v>84</v>
      </c>
      <c r="E9" s="4" t="s">
        <v>85</v>
      </c>
      <c r="F9" s="4" t="s">
        <v>89</v>
      </c>
      <c r="G9" s="4" t="s">
        <v>90</v>
      </c>
      <c r="H9" s="4" t="s">
        <v>91</v>
      </c>
    </row>
    <row r="10" spans="2:8" x14ac:dyDescent="0.25">
      <c r="B10" s="4" t="s">
        <v>82</v>
      </c>
      <c r="C10" s="4" t="s">
        <v>83</v>
      </c>
      <c r="D10" s="4" t="s">
        <v>84</v>
      </c>
      <c r="E10" s="4" t="s">
        <v>85</v>
      </c>
      <c r="F10" s="4" t="s">
        <v>92</v>
      </c>
      <c r="G10" s="4" t="s">
        <v>93</v>
      </c>
      <c r="H10" s="4" t="s">
        <v>94</v>
      </c>
    </row>
    <row r="11" spans="2:8" x14ac:dyDescent="0.25">
      <c r="B11" s="4" t="s">
        <v>82</v>
      </c>
      <c r="C11" s="4" t="s">
        <v>83</v>
      </c>
      <c r="D11" s="4" t="s">
        <v>95</v>
      </c>
      <c r="E11" s="4" t="s">
        <v>85</v>
      </c>
      <c r="F11" s="4" t="s">
        <v>96</v>
      </c>
      <c r="G11" s="4" t="s">
        <v>97</v>
      </c>
      <c r="H11" s="4" t="s">
        <v>98</v>
      </c>
    </row>
    <row r="12" spans="2:8" x14ac:dyDescent="0.25">
      <c r="B12" s="4" t="s">
        <v>82</v>
      </c>
      <c r="C12" s="4" t="s">
        <v>83</v>
      </c>
      <c r="D12" s="4" t="s">
        <v>99</v>
      </c>
      <c r="E12" s="4" t="s">
        <v>85</v>
      </c>
      <c r="F12" s="4" t="s">
        <v>100</v>
      </c>
      <c r="G12" s="4" t="s">
        <v>87</v>
      </c>
      <c r="H12" s="4" t="s">
        <v>101</v>
      </c>
    </row>
    <row r="13" spans="2:8" x14ac:dyDescent="0.25">
      <c r="B13" s="4" t="s">
        <v>102</v>
      </c>
      <c r="C13" s="4" t="s">
        <v>103</v>
      </c>
      <c r="D13" s="4" t="s">
        <v>104</v>
      </c>
      <c r="E13" s="4" t="s">
        <v>105</v>
      </c>
      <c r="F13" s="4" t="s">
        <v>106</v>
      </c>
      <c r="G13" s="4" t="s">
        <v>93</v>
      </c>
      <c r="H13" s="4" t="s">
        <v>107</v>
      </c>
    </row>
    <row r="14" spans="2:8" x14ac:dyDescent="0.25">
      <c r="B14" s="4" t="s">
        <v>102</v>
      </c>
      <c r="C14" s="4" t="s">
        <v>108</v>
      </c>
      <c r="D14" s="4" t="s">
        <v>109</v>
      </c>
      <c r="E14" s="4" t="s">
        <v>105</v>
      </c>
      <c r="F14" s="4" t="s">
        <v>110</v>
      </c>
      <c r="G14" s="4" t="s">
        <v>111</v>
      </c>
      <c r="H14" s="4" t="s">
        <v>112</v>
      </c>
    </row>
    <row r="15" spans="2:8" x14ac:dyDescent="0.25">
      <c r="B15" s="4" t="s">
        <v>113</v>
      </c>
      <c r="C15" s="4" t="s">
        <v>103</v>
      </c>
      <c r="D15" s="4" t="s">
        <v>114</v>
      </c>
      <c r="E15" s="4" t="s">
        <v>105</v>
      </c>
      <c r="F15" s="4" t="s">
        <v>106</v>
      </c>
      <c r="G15" s="4" t="s">
        <v>93</v>
      </c>
      <c r="H15" s="4" t="s">
        <v>107</v>
      </c>
    </row>
    <row r="16" spans="2:8" x14ac:dyDescent="0.25">
      <c r="B16" s="4" t="s">
        <v>113</v>
      </c>
      <c r="C16" s="4" t="s">
        <v>103</v>
      </c>
      <c r="D16" s="4" t="s">
        <v>114</v>
      </c>
      <c r="E16" s="4" t="s">
        <v>105</v>
      </c>
      <c r="F16" s="4" t="s">
        <v>115</v>
      </c>
      <c r="G16" s="4" t="s">
        <v>93</v>
      </c>
      <c r="H16" s="4" t="s">
        <v>116</v>
      </c>
    </row>
    <row r="17" spans="2:13" x14ac:dyDescent="0.25">
      <c r="B17" s="4" t="s">
        <v>113</v>
      </c>
      <c r="C17" s="4" t="s">
        <v>108</v>
      </c>
      <c r="D17" s="4" t="s">
        <v>117</v>
      </c>
      <c r="E17" s="4" t="s">
        <v>105</v>
      </c>
      <c r="F17" s="4" t="s">
        <v>118</v>
      </c>
      <c r="G17" s="4" t="s">
        <v>119</v>
      </c>
      <c r="H17" s="4" t="s">
        <v>120</v>
      </c>
    </row>
    <row r="18" spans="2:13" x14ac:dyDescent="0.25">
      <c r="B18" s="4" t="s">
        <v>113</v>
      </c>
      <c r="C18" s="4" t="s">
        <v>121</v>
      </c>
      <c r="D18" s="4" t="s">
        <v>114</v>
      </c>
      <c r="E18" s="4" t="s">
        <v>105</v>
      </c>
      <c r="F18" s="4" t="s">
        <v>122</v>
      </c>
      <c r="G18" s="4" t="s">
        <v>119</v>
      </c>
      <c r="H18" s="4" t="s">
        <v>123</v>
      </c>
    </row>
    <row r="19" spans="2:13" x14ac:dyDescent="0.25">
      <c r="B19" s="4" t="s">
        <v>113</v>
      </c>
      <c r="C19" s="4" t="s">
        <v>124</v>
      </c>
      <c r="D19" s="4" t="s">
        <v>114</v>
      </c>
      <c r="E19" s="4" t="s">
        <v>105</v>
      </c>
      <c r="F19" s="4" t="s">
        <v>125</v>
      </c>
      <c r="G19" s="4" t="s">
        <v>119</v>
      </c>
      <c r="H19" s="4" t="s">
        <v>126</v>
      </c>
    </row>
    <row r="20" spans="2:13" x14ac:dyDescent="0.25">
      <c r="B20" s="4" t="s">
        <v>127</v>
      </c>
      <c r="C20" s="4" t="s">
        <v>103</v>
      </c>
      <c r="D20" s="4" t="s">
        <v>128</v>
      </c>
      <c r="E20" s="4" t="s">
        <v>105</v>
      </c>
      <c r="F20" s="4" t="s">
        <v>106</v>
      </c>
      <c r="G20" s="4" t="s">
        <v>93</v>
      </c>
      <c r="H20" s="4" t="s">
        <v>107</v>
      </c>
    </row>
    <row r="21" spans="2:13" x14ac:dyDescent="0.25">
      <c r="B21" s="4" t="s">
        <v>127</v>
      </c>
      <c r="C21" s="4" t="s">
        <v>108</v>
      </c>
      <c r="D21" s="4" t="s">
        <v>129</v>
      </c>
      <c r="E21" s="4" t="s">
        <v>105</v>
      </c>
      <c r="F21" s="4" t="s">
        <v>130</v>
      </c>
      <c r="G21" s="4" t="s">
        <v>119</v>
      </c>
      <c r="H21" s="4" t="s">
        <v>131</v>
      </c>
    </row>
    <row r="22" spans="2:13" x14ac:dyDescent="0.25">
      <c r="B22" s="4" t="s">
        <v>132</v>
      </c>
      <c r="C22" s="4" t="s">
        <v>103</v>
      </c>
      <c r="D22" s="4" t="s">
        <v>133</v>
      </c>
      <c r="E22" s="4" t="s">
        <v>105</v>
      </c>
      <c r="F22" s="4" t="s">
        <v>106</v>
      </c>
      <c r="G22" s="4" t="s">
        <v>93</v>
      </c>
      <c r="H22" s="4" t="s">
        <v>107</v>
      </c>
    </row>
    <row r="23" spans="2:13" x14ac:dyDescent="0.25">
      <c r="B23" s="4" t="s">
        <v>132</v>
      </c>
      <c r="C23" s="4" t="s">
        <v>108</v>
      </c>
      <c r="D23" s="4" t="s">
        <v>133</v>
      </c>
      <c r="E23" s="4" t="s">
        <v>105</v>
      </c>
      <c r="F23" s="4" t="s">
        <v>115</v>
      </c>
      <c r="G23" s="4" t="s">
        <v>93</v>
      </c>
      <c r="H23" s="4" t="s">
        <v>116</v>
      </c>
    </row>
    <row r="26" spans="2:13" x14ac:dyDescent="0.25">
      <c r="B26" s="86" t="s">
        <v>48</v>
      </c>
      <c r="C26" s="87"/>
    </row>
    <row r="27" spans="2:13" x14ac:dyDescent="0.25">
      <c r="B27" s="48" t="s">
        <v>75</v>
      </c>
      <c r="C27" s="48" t="s">
        <v>76</v>
      </c>
      <c r="D27" s="48" t="s">
        <v>77</v>
      </c>
      <c r="E27" s="48" t="s">
        <v>78</v>
      </c>
      <c r="F27" s="48" t="s">
        <v>79</v>
      </c>
      <c r="G27" s="48" t="s">
        <v>80</v>
      </c>
      <c r="H27" s="48" t="s">
        <v>81</v>
      </c>
      <c r="I27" s="49"/>
      <c r="J27" s="49"/>
      <c r="K27" s="49"/>
      <c r="L27" s="49"/>
      <c r="M27" s="49"/>
    </row>
    <row r="28" spans="2:13" x14ac:dyDescent="0.25">
      <c r="B28" s="50" t="s">
        <v>82</v>
      </c>
      <c r="C28" s="50" t="s">
        <v>83</v>
      </c>
      <c r="D28" s="50" t="s">
        <v>84</v>
      </c>
      <c r="E28" s="50" t="s">
        <v>85</v>
      </c>
      <c r="F28" s="50" t="s">
        <v>134</v>
      </c>
      <c r="G28" s="50" t="s">
        <v>85</v>
      </c>
      <c r="H28" s="50" t="s">
        <v>135</v>
      </c>
      <c r="I28" s="49"/>
      <c r="J28" s="49"/>
      <c r="K28" s="49"/>
      <c r="L28" s="49"/>
      <c r="M28" s="49"/>
    </row>
    <row r="29" spans="2:13" x14ac:dyDescent="0.25">
      <c r="B29" s="50" t="s">
        <v>82</v>
      </c>
      <c r="C29" s="50" t="s">
        <v>83</v>
      </c>
      <c r="D29" s="50" t="s">
        <v>84</v>
      </c>
      <c r="E29" s="50" t="s">
        <v>85</v>
      </c>
      <c r="F29" s="50" t="s">
        <v>136</v>
      </c>
      <c r="G29" s="50" t="s">
        <v>137</v>
      </c>
      <c r="H29" s="50" t="s">
        <v>138</v>
      </c>
      <c r="I29" s="49"/>
      <c r="J29" s="49"/>
      <c r="K29" s="49"/>
      <c r="L29" s="49"/>
      <c r="M29" s="49"/>
    </row>
    <row r="30" spans="2:13" x14ac:dyDescent="0.25">
      <c r="B30" s="50" t="s">
        <v>82</v>
      </c>
      <c r="C30" s="50" t="s">
        <v>83</v>
      </c>
      <c r="D30" s="50" t="s">
        <v>84</v>
      </c>
      <c r="E30" s="50" t="s">
        <v>85</v>
      </c>
      <c r="F30" s="50" t="s">
        <v>139</v>
      </c>
      <c r="G30" s="50" t="s">
        <v>85</v>
      </c>
      <c r="H30" s="50" t="s">
        <v>140</v>
      </c>
      <c r="I30" s="49"/>
      <c r="J30" s="49"/>
      <c r="K30" s="49"/>
      <c r="L30" s="49"/>
      <c r="M30" s="49"/>
    </row>
    <row r="31" spans="2:13" x14ac:dyDescent="0.25">
      <c r="B31" s="50" t="s">
        <v>113</v>
      </c>
      <c r="C31" s="50" t="s">
        <v>103</v>
      </c>
      <c r="D31" s="50" t="s">
        <v>141</v>
      </c>
      <c r="E31" s="50" t="s">
        <v>105</v>
      </c>
      <c r="F31" s="50" t="s">
        <v>142</v>
      </c>
      <c r="G31" s="50" t="s">
        <v>119</v>
      </c>
      <c r="H31" s="50" t="s">
        <v>143</v>
      </c>
      <c r="I31" s="49"/>
      <c r="J31" s="49"/>
      <c r="K31" s="49"/>
      <c r="L31" s="49"/>
      <c r="M31" s="49"/>
    </row>
    <row r="32" spans="2:13" x14ac:dyDescent="0.25">
      <c r="B32" s="50" t="s">
        <v>113</v>
      </c>
      <c r="C32" s="50" t="s">
        <v>108</v>
      </c>
      <c r="D32" s="50" t="s">
        <v>141</v>
      </c>
      <c r="E32" s="50" t="s">
        <v>105</v>
      </c>
      <c r="F32" s="50" t="s">
        <v>144</v>
      </c>
      <c r="G32" s="50" t="s">
        <v>119</v>
      </c>
      <c r="H32" s="50" t="s">
        <v>145</v>
      </c>
      <c r="I32" s="49"/>
      <c r="J32" s="49"/>
      <c r="K32" s="49"/>
      <c r="L32" s="49"/>
      <c r="M32" s="49"/>
    </row>
    <row r="33" spans="2:13" x14ac:dyDescent="0.25">
      <c r="B33" s="50" t="s">
        <v>113</v>
      </c>
      <c r="C33" s="50" t="s">
        <v>121</v>
      </c>
      <c r="D33" s="50" t="s">
        <v>141</v>
      </c>
      <c r="E33" s="50" t="s">
        <v>105</v>
      </c>
      <c r="F33" s="50" t="s">
        <v>146</v>
      </c>
      <c r="G33" s="50" t="s">
        <v>119</v>
      </c>
      <c r="H33" s="50" t="s">
        <v>147</v>
      </c>
      <c r="I33" s="49"/>
      <c r="J33" s="49"/>
      <c r="K33" s="49"/>
      <c r="L33" s="49"/>
      <c r="M33" s="49"/>
    </row>
    <row r="34" spans="2:13" x14ac:dyDescent="0.25">
      <c r="B34" s="50" t="s">
        <v>113</v>
      </c>
      <c r="C34" s="50" t="s">
        <v>124</v>
      </c>
      <c r="D34" s="50" t="s">
        <v>141</v>
      </c>
      <c r="E34" s="50" t="s">
        <v>105</v>
      </c>
      <c r="F34" s="50" t="s">
        <v>148</v>
      </c>
      <c r="G34" s="50" t="s">
        <v>119</v>
      </c>
      <c r="H34" s="50" t="s">
        <v>149</v>
      </c>
      <c r="I34" s="49"/>
      <c r="J34" s="49"/>
      <c r="K34" s="49"/>
      <c r="L34" s="49"/>
      <c r="M34" s="49"/>
    </row>
    <row r="35" spans="2:13" x14ac:dyDescent="0.25">
      <c r="B35" s="50" t="s">
        <v>127</v>
      </c>
      <c r="C35" s="50" t="s">
        <v>103</v>
      </c>
      <c r="D35" s="50" t="s">
        <v>128</v>
      </c>
      <c r="E35" s="50" t="s">
        <v>105</v>
      </c>
      <c r="F35" s="50" t="s">
        <v>142</v>
      </c>
      <c r="G35" s="50" t="s">
        <v>119</v>
      </c>
      <c r="H35" s="50" t="s">
        <v>150</v>
      </c>
      <c r="I35" s="49"/>
      <c r="J35" s="49"/>
      <c r="K35" s="49"/>
      <c r="L35" s="49"/>
      <c r="M35" s="49"/>
    </row>
    <row r="36" spans="2:13" x14ac:dyDescent="0.25">
      <c r="B36" s="50" t="s">
        <v>127</v>
      </c>
      <c r="C36" s="50" t="s">
        <v>108</v>
      </c>
      <c r="D36" s="50" t="s">
        <v>128</v>
      </c>
      <c r="E36" s="50" t="s">
        <v>85</v>
      </c>
      <c r="F36" s="50" t="s">
        <v>151</v>
      </c>
      <c r="G36" s="50" t="s">
        <v>152</v>
      </c>
      <c r="H36" s="50" t="s">
        <v>153</v>
      </c>
      <c r="I36" s="49"/>
      <c r="J36" s="49"/>
      <c r="K36" s="49"/>
      <c r="L36" s="49"/>
      <c r="M36" s="49"/>
    </row>
    <row r="37" spans="2:13" x14ac:dyDescent="0.25">
      <c r="B37" s="50" t="s">
        <v>132</v>
      </c>
      <c r="C37" s="50" t="s">
        <v>103</v>
      </c>
      <c r="D37" s="50" t="s">
        <v>133</v>
      </c>
      <c r="E37" s="50" t="s">
        <v>85</v>
      </c>
      <c r="F37" s="50" t="s">
        <v>154</v>
      </c>
      <c r="G37" s="50" t="s">
        <v>155</v>
      </c>
      <c r="H37" s="50" t="s">
        <v>156</v>
      </c>
      <c r="I37" s="49"/>
      <c r="J37" s="49"/>
      <c r="K37" s="49"/>
      <c r="L37" s="49"/>
      <c r="M37" s="49"/>
    </row>
    <row r="38" spans="2:13" x14ac:dyDescent="0.25">
      <c r="B38" s="50" t="s">
        <v>132</v>
      </c>
      <c r="C38" s="50" t="s">
        <v>108</v>
      </c>
      <c r="D38" s="50" t="s">
        <v>133</v>
      </c>
      <c r="E38" s="50" t="s">
        <v>105</v>
      </c>
      <c r="F38" s="50" t="s">
        <v>142</v>
      </c>
      <c r="G38" s="50" t="s">
        <v>119</v>
      </c>
      <c r="H38" s="50" t="s">
        <v>157</v>
      </c>
      <c r="I38" s="49"/>
      <c r="J38" s="49"/>
      <c r="K38" s="49"/>
      <c r="L38" s="49"/>
      <c r="M38" s="49"/>
    </row>
    <row r="41" spans="2:13" x14ac:dyDescent="0.25">
      <c r="B41" s="86" t="s">
        <v>158</v>
      </c>
      <c r="C41" s="87"/>
    </row>
    <row r="42" spans="2:13" x14ac:dyDescent="0.25">
      <c r="B42" s="51" t="s">
        <v>75</v>
      </c>
      <c r="C42" s="51" t="s">
        <v>76</v>
      </c>
      <c r="D42" s="51" t="s">
        <v>77</v>
      </c>
      <c r="E42" s="51" t="s">
        <v>78</v>
      </c>
      <c r="F42" s="51" t="s">
        <v>79</v>
      </c>
      <c r="G42" s="51" t="s">
        <v>159</v>
      </c>
      <c r="H42" s="51" t="s">
        <v>160</v>
      </c>
      <c r="I42" s="49"/>
      <c r="J42" s="49"/>
      <c r="K42" s="49"/>
      <c r="L42" s="49"/>
      <c r="M42" s="49"/>
    </row>
    <row r="43" spans="2:13" x14ac:dyDescent="0.25">
      <c r="B43" s="50" t="s">
        <v>82</v>
      </c>
      <c r="C43" s="50" t="s">
        <v>83</v>
      </c>
      <c r="D43" s="50" t="s">
        <v>84</v>
      </c>
      <c r="E43" s="50" t="s">
        <v>85</v>
      </c>
      <c r="F43" s="50" t="s">
        <v>161</v>
      </c>
      <c r="G43" s="50" t="s">
        <v>162</v>
      </c>
      <c r="H43" s="50" t="s">
        <v>163</v>
      </c>
      <c r="I43" s="49"/>
      <c r="J43" s="49"/>
      <c r="K43" s="49"/>
      <c r="L43" s="49"/>
      <c r="M43" s="49"/>
    </row>
    <row r="44" spans="2:13" x14ac:dyDescent="0.25">
      <c r="B44" s="50" t="s">
        <v>82</v>
      </c>
      <c r="C44" s="50" t="s">
        <v>83</v>
      </c>
      <c r="D44" s="50" t="s">
        <v>84</v>
      </c>
      <c r="E44" s="50" t="s">
        <v>85</v>
      </c>
      <c r="F44" s="50" t="s">
        <v>86</v>
      </c>
      <c r="G44" s="50" t="s">
        <v>87</v>
      </c>
      <c r="H44" s="50" t="s">
        <v>164</v>
      </c>
      <c r="I44" s="49"/>
      <c r="J44" s="49"/>
      <c r="K44" s="49"/>
      <c r="L44" s="49"/>
      <c r="M44" s="49"/>
    </row>
    <row r="45" spans="2:13" x14ac:dyDescent="0.25">
      <c r="B45" s="50" t="s">
        <v>82</v>
      </c>
      <c r="C45" s="50" t="s">
        <v>83</v>
      </c>
      <c r="D45" s="50" t="s">
        <v>99</v>
      </c>
      <c r="E45" s="50" t="s">
        <v>85</v>
      </c>
      <c r="F45" s="50" t="s">
        <v>165</v>
      </c>
      <c r="G45" s="50" t="s">
        <v>87</v>
      </c>
      <c r="H45" s="50" t="s">
        <v>166</v>
      </c>
      <c r="I45" s="49"/>
      <c r="J45" s="49"/>
      <c r="K45" s="49"/>
      <c r="L45" s="49"/>
      <c r="M45" s="49"/>
    </row>
    <row r="46" spans="2:13" x14ac:dyDescent="0.25">
      <c r="B46" s="50" t="s">
        <v>102</v>
      </c>
      <c r="C46" s="50" t="s">
        <v>103</v>
      </c>
      <c r="D46" s="50" t="s">
        <v>104</v>
      </c>
      <c r="E46" s="50" t="s">
        <v>105</v>
      </c>
      <c r="F46" s="50" t="s">
        <v>142</v>
      </c>
      <c r="G46" s="50" t="s">
        <v>167</v>
      </c>
      <c r="H46" s="50" t="s">
        <v>168</v>
      </c>
      <c r="I46" s="49"/>
      <c r="J46" s="49"/>
      <c r="K46" s="49"/>
      <c r="L46" s="49"/>
      <c r="M46" s="49"/>
    </row>
    <row r="47" spans="2:13" x14ac:dyDescent="0.25">
      <c r="B47" s="50" t="s">
        <v>102</v>
      </c>
      <c r="C47" s="50" t="s">
        <v>108</v>
      </c>
      <c r="D47" s="50" t="s">
        <v>169</v>
      </c>
      <c r="E47" s="50" t="s">
        <v>105</v>
      </c>
      <c r="F47" s="50" t="s">
        <v>170</v>
      </c>
      <c r="G47" s="50" t="s">
        <v>171</v>
      </c>
      <c r="H47" s="50" t="s">
        <v>172</v>
      </c>
      <c r="I47" s="49"/>
      <c r="J47" s="49"/>
      <c r="K47" s="49"/>
      <c r="L47" s="49"/>
      <c r="M47" s="49"/>
    </row>
    <row r="48" spans="2:13" x14ac:dyDescent="0.25">
      <c r="B48" s="50" t="s">
        <v>113</v>
      </c>
      <c r="C48" s="50" t="s">
        <v>103</v>
      </c>
      <c r="D48" s="50" t="s">
        <v>114</v>
      </c>
      <c r="E48" s="50" t="s">
        <v>105</v>
      </c>
      <c r="F48" s="50" t="s">
        <v>142</v>
      </c>
      <c r="G48" s="50" t="s">
        <v>119</v>
      </c>
      <c r="H48" s="50" t="s">
        <v>173</v>
      </c>
      <c r="I48" s="49"/>
      <c r="J48" s="49"/>
      <c r="K48" s="49"/>
      <c r="L48" s="49"/>
      <c r="M48" s="49"/>
    </row>
    <row r="49" spans="2:14" x14ac:dyDescent="0.25">
      <c r="B49" s="50" t="s">
        <v>113</v>
      </c>
      <c r="C49" s="50" t="s">
        <v>108</v>
      </c>
      <c r="D49" s="50" t="s">
        <v>114</v>
      </c>
      <c r="E49" s="50" t="s">
        <v>105</v>
      </c>
      <c r="F49" s="50" t="s">
        <v>144</v>
      </c>
      <c r="G49" s="50" t="s">
        <v>119</v>
      </c>
      <c r="H49" s="50" t="s">
        <v>174</v>
      </c>
      <c r="I49" s="49"/>
      <c r="J49" s="49"/>
      <c r="K49" s="49"/>
      <c r="L49" s="49"/>
      <c r="M49" s="49"/>
    </row>
    <row r="50" spans="2:14" x14ac:dyDescent="0.25">
      <c r="B50" s="50" t="s">
        <v>113</v>
      </c>
      <c r="C50" s="50" t="s">
        <v>121</v>
      </c>
      <c r="D50" s="50" t="s">
        <v>114</v>
      </c>
      <c r="E50" s="50" t="s">
        <v>105</v>
      </c>
      <c r="F50" s="50" t="s">
        <v>170</v>
      </c>
      <c r="G50" s="50" t="s">
        <v>171</v>
      </c>
      <c r="H50" s="50" t="s">
        <v>175</v>
      </c>
      <c r="I50" s="49"/>
      <c r="J50" s="49"/>
      <c r="K50" s="49"/>
      <c r="L50" s="49"/>
      <c r="M50" s="49"/>
    </row>
    <row r="51" spans="2:14" x14ac:dyDescent="0.25">
      <c r="B51" s="50" t="s">
        <v>113</v>
      </c>
      <c r="C51" s="50" t="s">
        <v>124</v>
      </c>
      <c r="D51" s="50" t="s">
        <v>114</v>
      </c>
      <c r="E51" s="50" t="s">
        <v>85</v>
      </c>
      <c r="F51" s="50" t="s">
        <v>176</v>
      </c>
      <c r="G51" s="50" t="s">
        <v>177</v>
      </c>
      <c r="H51" s="50" t="s">
        <v>178</v>
      </c>
      <c r="I51" s="49"/>
      <c r="J51" s="49"/>
      <c r="K51" s="49"/>
      <c r="L51" s="49"/>
      <c r="M51" s="49"/>
    </row>
    <row r="52" spans="2:14" x14ac:dyDescent="0.25">
      <c r="B52" s="50" t="s">
        <v>127</v>
      </c>
      <c r="C52" s="50" t="s">
        <v>103</v>
      </c>
      <c r="D52" s="50" t="s">
        <v>128</v>
      </c>
      <c r="E52" s="50" t="s">
        <v>105</v>
      </c>
      <c r="F52" s="50" t="s">
        <v>142</v>
      </c>
      <c r="G52" s="50" t="s">
        <v>119</v>
      </c>
      <c r="H52" s="50" t="s">
        <v>179</v>
      </c>
      <c r="I52" s="49"/>
      <c r="J52" s="49"/>
      <c r="K52" s="49"/>
      <c r="L52" s="49"/>
      <c r="M52" s="49"/>
    </row>
    <row r="53" spans="2:14" x14ac:dyDescent="0.25">
      <c r="B53" s="50" t="s">
        <v>132</v>
      </c>
      <c r="C53" s="50" t="s">
        <v>103</v>
      </c>
      <c r="D53" s="50" t="s">
        <v>133</v>
      </c>
      <c r="E53" s="50" t="s">
        <v>85</v>
      </c>
      <c r="F53" s="50" t="s">
        <v>161</v>
      </c>
      <c r="G53" s="50" t="s">
        <v>162</v>
      </c>
      <c r="H53" s="50" t="s">
        <v>180</v>
      </c>
      <c r="I53" s="49"/>
      <c r="J53" s="49"/>
      <c r="K53" s="49"/>
      <c r="L53" s="49"/>
      <c r="M53" s="49"/>
    </row>
    <row r="54" spans="2:14" x14ac:dyDescent="0.25">
      <c r="B54" s="50" t="s">
        <v>132</v>
      </c>
      <c r="C54" s="50" t="s">
        <v>108</v>
      </c>
      <c r="D54" s="50" t="s">
        <v>133</v>
      </c>
      <c r="E54" s="50" t="s">
        <v>105</v>
      </c>
      <c r="F54" s="50" t="s">
        <v>142</v>
      </c>
      <c r="G54" s="50" t="s">
        <v>119</v>
      </c>
      <c r="H54" s="50" t="s">
        <v>181</v>
      </c>
      <c r="I54" s="49"/>
      <c r="J54" s="49"/>
      <c r="K54" s="49"/>
      <c r="L54" s="49"/>
      <c r="M54" s="49"/>
    </row>
    <row r="57" spans="2:14" x14ac:dyDescent="0.25">
      <c r="B57" s="86" t="s">
        <v>51</v>
      </c>
      <c r="C57" s="87"/>
    </row>
    <row r="58" spans="2:14" x14ac:dyDescent="0.25">
      <c r="B58" s="51" t="s">
        <v>75</v>
      </c>
      <c r="C58" s="51" t="s">
        <v>76</v>
      </c>
      <c r="D58" s="51" t="s">
        <v>77</v>
      </c>
      <c r="E58" s="51" t="s">
        <v>78</v>
      </c>
      <c r="F58" s="51" t="s">
        <v>79</v>
      </c>
      <c r="G58" s="51" t="s">
        <v>159</v>
      </c>
      <c r="H58" s="51" t="s">
        <v>160</v>
      </c>
      <c r="I58" s="49"/>
      <c r="J58" s="49"/>
      <c r="K58" s="49"/>
      <c r="L58" s="49"/>
      <c r="M58" s="49"/>
      <c r="N58" s="49"/>
    </row>
    <row r="59" spans="2:14" x14ac:dyDescent="0.25">
      <c r="B59" s="50" t="s">
        <v>82</v>
      </c>
      <c r="C59" s="50" t="s">
        <v>83</v>
      </c>
      <c r="D59" s="50" t="s">
        <v>182</v>
      </c>
      <c r="E59" s="50" t="s">
        <v>85</v>
      </c>
      <c r="F59" s="50" t="s">
        <v>183</v>
      </c>
      <c r="G59" s="50" t="s">
        <v>184</v>
      </c>
      <c r="H59" s="50" t="s">
        <v>185</v>
      </c>
      <c r="I59" s="49"/>
      <c r="J59" s="49"/>
      <c r="K59" s="49"/>
      <c r="L59" s="49"/>
      <c r="M59" s="49"/>
      <c r="N59" s="49"/>
    </row>
    <row r="60" spans="2:14" x14ac:dyDescent="0.25">
      <c r="B60" s="50" t="s">
        <v>82</v>
      </c>
      <c r="C60" s="50" t="s">
        <v>83</v>
      </c>
      <c r="D60" s="50" t="s">
        <v>182</v>
      </c>
      <c r="E60" s="50" t="s">
        <v>85</v>
      </c>
      <c r="F60" s="50" t="s">
        <v>186</v>
      </c>
      <c r="G60" s="50" t="s">
        <v>85</v>
      </c>
      <c r="H60" s="50" t="s">
        <v>187</v>
      </c>
      <c r="I60" s="49"/>
      <c r="J60" s="49"/>
      <c r="K60" s="49"/>
      <c r="L60" s="49"/>
      <c r="M60" s="49"/>
      <c r="N60" s="49"/>
    </row>
    <row r="61" spans="2:14" x14ac:dyDescent="0.25">
      <c r="B61" s="50" t="s">
        <v>82</v>
      </c>
      <c r="C61" s="50" t="s">
        <v>83</v>
      </c>
      <c r="D61" s="50" t="s">
        <v>182</v>
      </c>
      <c r="E61" s="50" t="s">
        <v>85</v>
      </c>
      <c r="F61" s="50" t="s">
        <v>86</v>
      </c>
      <c r="G61" s="50" t="s">
        <v>87</v>
      </c>
      <c r="H61" s="50" t="s">
        <v>188</v>
      </c>
      <c r="I61" s="49"/>
      <c r="J61" s="49"/>
      <c r="K61" s="49"/>
      <c r="L61" s="49"/>
      <c r="M61" s="49"/>
      <c r="N61" s="49"/>
    </row>
    <row r="62" spans="2:14" x14ac:dyDescent="0.25">
      <c r="B62" s="50" t="s">
        <v>113</v>
      </c>
      <c r="C62" s="50" t="s">
        <v>103</v>
      </c>
      <c r="D62" s="50" t="s">
        <v>114</v>
      </c>
      <c r="E62" s="50" t="s">
        <v>105</v>
      </c>
      <c r="F62" s="50" t="s">
        <v>144</v>
      </c>
      <c r="G62" s="50" t="s">
        <v>119</v>
      </c>
      <c r="H62" s="50" t="s">
        <v>189</v>
      </c>
      <c r="I62" s="49"/>
      <c r="J62" s="49"/>
      <c r="K62" s="49"/>
      <c r="L62" s="49"/>
      <c r="M62" s="49"/>
      <c r="N62" s="49"/>
    </row>
    <row r="63" spans="2:14" x14ac:dyDescent="0.25">
      <c r="B63" s="50" t="s">
        <v>113</v>
      </c>
      <c r="C63" s="50" t="s">
        <v>108</v>
      </c>
      <c r="D63" s="50" t="s">
        <v>114</v>
      </c>
      <c r="E63" s="50" t="s">
        <v>105</v>
      </c>
      <c r="F63" s="50" t="s">
        <v>190</v>
      </c>
      <c r="G63" s="50" t="s">
        <v>119</v>
      </c>
      <c r="H63" s="50" t="s">
        <v>191</v>
      </c>
      <c r="I63" s="49"/>
      <c r="J63" s="49"/>
      <c r="K63" s="49"/>
      <c r="L63" s="49"/>
      <c r="M63" s="49"/>
      <c r="N63" s="49"/>
    </row>
    <row r="64" spans="2:14" x14ac:dyDescent="0.25">
      <c r="B64" s="50" t="s">
        <v>113</v>
      </c>
      <c r="C64" s="50" t="s">
        <v>121</v>
      </c>
      <c r="D64" s="50" t="s">
        <v>114</v>
      </c>
      <c r="E64" s="50" t="s">
        <v>105</v>
      </c>
      <c r="F64" s="50" t="s">
        <v>192</v>
      </c>
      <c r="G64" s="50" t="s">
        <v>119</v>
      </c>
      <c r="H64" s="50" t="s">
        <v>193</v>
      </c>
      <c r="I64" s="49"/>
      <c r="J64" s="49"/>
      <c r="K64" s="49"/>
      <c r="L64" s="49"/>
      <c r="M64" s="49"/>
      <c r="N64" s="49"/>
    </row>
    <row r="65" spans="2:14" x14ac:dyDescent="0.25">
      <c r="B65" s="50" t="s">
        <v>113</v>
      </c>
      <c r="C65" s="50" t="s">
        <v>124</v>
      </c>
      <c r="D65" s="50" t="s">
        <v>114</v>
      </c>
      <c r="E65" s="50" t="s">
        <v>105</v>
      </c>
      <c r="F65" s="50" t="s">
        <v>194</v>
      </c>
      <c r="G65" s="50" t="s">
        <v>195</v>
      </c>
      <c r="H65" s="50" t="s">
        <v>196</v>
      </c>
      <c r="I65" s="49"/>
      <c r="J65" s="49"/>
      <c r="K65" s="49"/>
      <c r="L65" s="49"/>
      <c r="M65" s="49"/>
      <c r="N65" s="49"/>
    </row>
    <row r="66" spans="2:14" x14ac:dyDescent="0.25">
      <c r="B66" s="50" t="s">
        <v>127</v>
      </c>
      <c r="C66" s="50" t="s">
        <v>103</v>
      </c>
      <c r="D66" s="50" t="s">
        <v>197</v>
      </c>
      <c r="E66" s="50" t="s">
        <v>85</v>
      </c>
      <c r="F66" s="50" t="s">
        <v>198</v>
      </c>
      <c r="G66" s="50" t="s">
        <v>177</v>
      </c>
      <c r="H66" s="50" t="s">
        <v>199</v>
      </c>
      <c r="I66" s="49"/>
      <c r="J66" s="49"/>
      <c r="K66" s="49"/>
      <c r="L66" s="49"/>
      <c r="M66" s="49"/>
      <c r="N66" s="49"/>
    </row>
    <row r="67" spans="2:14" x14ac:dyDescent="0.25">
      <c r="B67" s="50" t="s">
        <v>132</v>
      </c>
      <c r="C67" s="50" t="s">
        <v>83</v>
      </c>
      <c r="D67" s="50" t="s">
        <v>133</v>
      </c>
      <c r="E67" s="50" t="s">
        <v>85</v>
      </c>
      <c r="F67" s="50" t="s">
        <v>200</v>
      </c>
      <c r="G67" s="50" t="s">
        <v>201</v>
      </c>
      <c r="H67" s="50" t="s">
        <v>202</v>
      </c>
      <c r="I67" s="49"/>
      <c r="J67" s="49"/>
      <c r="K67" s="49"/>
      <c r="L67" s="49"/>
      <c r="M67" s="49"/>
      <c r="N67" s="49"/>
    </row>
    <row r="68" spans="2:14" x14ac:dyDescent="0.25">
      <c r="B68" s="50" t="s">
        <v>132</v>
      </c>
      <c r="C68" s="50" t="s">
        <v>83</v>
      </c>
      <c r="D68" s="50" t="s">
        <v>133</v>
      </c>
      <c r="E68" s="50" t="s">
        <v>105</v>
      </c>
      <c r="F68" s="50" t="s">
        <v>142</v>
      </c>
      <c r="G68" s="50" t="s">
        <v>119</v>
      </c>
      <c r="H68" s="50" t="s">
        <v>203</v>
      </c>
      <c r="I68" s="49"/>
      <c r="J68" s="49"/>
      <c r="K68" s="49"/>
      <c r="L68" s="49"/>
      <c r="M68" s="49"/>
      <c r="N68" s="49"/>
    </row>
    <row r="71" spans="2:14" x14ac:dyDescent="0.25">
      <c r="B71" s="45"/>
      <c r="C71" s="46" t="s">
        <v>204</v>
      </c>
      <c r="D71" s="47"/>
    </row>
    <row r="72" spans="2:14" x14ac:dyDescent="0.25">
      <c r="B72" s="51" t="s">
        <v>75</v>
      </c>
      <c r="C72" s="51" t="s">
        <v>76</v>
      </c>
      <c r="D72" s="51" t="s">
        <v>77</v>
      </c>
      <c r="E72" s="51" t="s">
        <v>78</v>
      </c>
      <c r="F72" s="51" t="s">
        <v>79</v>
      </c>
      <c r="G72" s="51" t="s">
        <v>159</v>
      </c>
      <c r="H72" s="51" t="s">
        <v>160</v>
      </c>
      <c r="I72" s="49"/>
      <c r="J72" s="49"/>
      <c r="K72" s="49"/>
      <c r="L72" s="49"/>
      <c r="M72" s="49"/>
    </row>
    <row r="73" spans="2:14" x14ac:dyDescent="0.25">
      <c r="B73" s="50" t="s">
        <v>82</v>
      </c>
      <c r="C73" s="50" t="s">
        <v>83</v>
      </c>
      <c r="D73" s="50" t="s">
        <v>84</v>
      </c>
      <c r="E73" s="50" t="s">
        <v>85</v>
      </c>
      <c r="F73" s="50" t="s">
        <v>205</v>
      </c>
      <c r="G73" s="50" t="s">
        <v>85</v>
      </c>
      <c r="H73" s="50" t="s">
        <v>206</v>
      </c>
      <c r="I73" s="49"/>
      <c r="J73" s="49"/>
      <c r="K73" s="49"/>
      <c r="L73" s="49"/>
      <c r="M73" s="49"/>
    </row>
    <row r="74" spans="2:14" x14ac:dyDescent="0.25">
      <c r="B74" s="50" t="s">
        <v>82</v>
      </c>
      <c r="C74" s="50" t="s">
        <v>83</v>
      </c>
      <c r="D74" s="50" t="s">
        <v>84</v>
      </c>
      <c r="E74" s="50" t="s">
        <v>85</v>
      </c>
      <c r="F74" s="50" t="s">
        <v>207</v>
      </c>
      <c r="G74" s="50" t="s">
        <v>85</v>
      </c>
      <c r="H74" s="50" t="s">
        <v>208</v>
      </c>
      <c r="I74" s="49"/>
      <c r="J74" s="49"/>
      <c r="K74" s="49"/>
      <c r="L74" s="49"/>
      <c r="M74" s="49"/>
    </row>
    <row r="75" spans="2:14" x14ac:dyDescent="0.25">
      <c r="B75" s="50" t="s">
        <v>82</v>
      </c>
      <c r="C75" s="50" t="s">
        <v>83</v>
      </c>
      <c r="D75" s="50" t="s">
        <v>84</v>
      </c>
      <c r="E75" s="50" t="s">
        <v>85</v>
      </c>
      <c r="F75" s="50" t="s">
        <v>209</v>
      </c>
      <c r="G75" s="50" t="s">
        <v>85</v>
      </c>
      <c r="H75" s="50" t="s">
        <v>210</v>
      </c>
      <c r="I75" s="49"/>
      <c r="J75" s="49"/>
      <c r="K75" s="49"/>
      <c r="L75" s="49"/>
      <c r="M75" s="49"/>
    </row>
    <row r="76" spans="2:14" x14ac:dyDescent="0.25">
      <c r="B76" s="50" t="s">
        <v>102</v>
      </c>
      <c r="C76" s="50" t="s">
        <v>103</v>
      </c>
      <c r="D76" s="50" t="s">
        <v>104</v>
      </c>
      <c r="E76" s="50" t="s">
        <v>105</v>
      </c>
      <c r="F76" s="50" t="s">
        <v>211</v>
      </c>
      <c r="G76" s="50" t="s">
        <v>212</v>
      </c>
      <c r="H76" s="50" t="s">
        <v>213</v>
      </c>
      <c r="I76" s="49"/>
      <c r="J76" s="49"/>
      <c r="K76" s="49"/>
      <c r="L76" s="49"/>
      <c r="M76" s="49"/>
    </row>
    <row r="77" spans="2:14" x14ac:dyDescent="0.25">
      <c r="B77" s="50" t="s">
        <v>102</v>
      </c>
      <c r="C77" s="50" t="s">
        <v>108</v>
      </c>
      <c r="D77" s="50" t="s">
        <v>104</v>
      </c>
      <c r="E77" s="50" t="s">
        <v>105</v>
      </c>
      <c r="F77" s="50" t="s">
        <v>214</v>
      </c>
      <c r="G77" s="50" t="s">
        <v>215</v>
      </c>
      <c r="H77" s="50" t="s">
        <v>216</v>
      </c>
      <c r="I77" s="49"/>
      <c r="J77" s="49"/>
      <c r="K77" s="49"/>
      <c r="L77" s="49"/>
      <c r="M77" s="49"/>
    </row>
    <row r="78" spans="2:14" x14ac:dyDescent="0.25">
      <c r="B78" s="50" t="s">
        <v>113</v>
      </c>
      <c r="C78" s="50" t="s">
        <v>121</v>
      </c>
      <c r="D78" s="50" t="s">
        <v>114</v>
      </c>
      <c r="E78" s="50" t="s">
        <v>105</v>
      </c>
      <c r="F78" s="50" t="s">
        <v>217</v>
      </c>
      <c r="G78" s="50" t="s">
        <v>119</v>
      </c>
      <c r="H78" s="50" t="s">
        <v>218</v>
      </c>
      <c r="I78" s="49"/>
      <c r="J78" s="49"/>
      <c r="K78" s="49"/>
      <c r="L78" s="49"/>
      <c r="M78" s="49"/>
    </row>
    <row r="79" spans="2:14" x14ac:dyDescent="0.25">
      <c r="B79" s="50" t="s">
        <v>113</v>
      </c>
      <c r="C79" s="50" t="s">
        <v>124</v>
      </c>
      <c r="D79" s="50" t="s">
        <v>114</v>
      </c>
      <c r="E79" s="50" t="s">
        <v>85</v>
      </c>
      <c r="F79" s="50" t="s">
        <v>219</v>
      </c>
      <c r="G79" s="50" t="s">
        <v>177</v>
      </c>
      <c r="H79" s="50" t="s">
        <v>220</v>
      </c>
      <c r="I79" s="49"/>
      <c r="J79" s="49"/>
      <c r="K79" s="49"/>
      <c r="L79" s="49"/>
      <c r="M79" s="49"/>
    </row>
    <row r="80" spans="2:14" x14ac:dyDescent="0.25">
      <c r="B80" s="50" t="s">
        <v>127</v>
      </c>
      <c r="C80" s="50" t="s">
        <v>103</v>
      </c>
      <c r="D80" s="50" t="s">
        <v>128</v>
      </c>
      <c r="E80" s="50" t="s">
        <v>105</v>
      </c>
      <c r="F80" s="50" t="s">
        <v>221</v>
      </c>
      <c r="G80" s="50" t="s">
        <v>215</v>
      </c>
      <c r="H80" s="50" t="s">
        <v>222</v>
      </c>
      <c r="I80" s="49"/>
      <c r="J80" s="49"/>
      <c r="K80" s="49"/>
      <c r="L80" s="49"/>
      <c r="M80" s="49"/>
    </row>
    <row r="81" spans="2:13" x14ac:dyDescent="0.25">
      <c r="B81" s="50" t="s">
        <v>127</v>
      </c>
      <c r="C81" s="50" t="s">
        <v>108</v>
      </c>
      <c r="D81" s="50" t="s">
        <v>128</v>
      </c>
      <c r="E81" s="50" t="s">
        <v>85</v>
      </c>
      <c r="F81" s="50" t="s">
        <v>223</v>
      </c>
      <c r="G81" s="50" t="s">
        <v>224</v>
      </c>
      <c r="H81" s="50" t="s">
        <v>225</v>
      </c>
      <c r="I81" s="49"/>
      <c r="J81" s="49"/>
      <c r="K81" s="49"/>
      <c r="L81" s="49"/>
      <c r="M81" s="49"/>
    </row>
    <row r="82" spans="2:13" x14ac:dyDescent="0.25">
      <c r="B82" s="50" t="s">
        <v>132</v>
      </c>
      <c r="C82" s="50" t="s">
        <v>103</v>
      </c>
      <c r="D82" s="50" t="s">
        <v>133</v>
      </c>
      <c r="E82" s="50" t="s">
        <v>105</v>
      </c>
      <c r="F82" s="50" t="s">
        <v>221</v>
      </c>
      <c r="G82" s="50" t="s">
        <v>215</v>
      </c>
      <c r="H82" s="50" t="s">
        <v>226</v>
      </c>
      <c r="I82" s="49"/>
      <c r="J82" s="49"/>
      <c r="K82" s="49"/>
      <c r="L82" s="49"/>
      <c r="M82" s="49"/>
    </row>
    <row r="83" spans="2:13" x14ac:dyDescent="0.25">
      <c r="B83" s="50" t="s">
        <v>132</v>
      </c>
      <c r="C83" s="50" t="s">
        <v>108</v>
      </c>
      <c r="D83" s="50" t="s">
        <v>133</v>
      </c>
      <c r="E83" s="50" t="s">
        <v>105</v>
      </c>
      <c r="F83" s="50" t="s">
        <v>217</v>
      </c>
      <c r="G83" s="50" t="s">
        <v>119</v>
      </c>
      <c r="H83" s="50" t="s">
        <v>227</v>
      </c>
      <c r="I83" s="49"/>
      <c r="J83" s="49"/>
      <c r="K83" s="49"/>
      <c r="L83" s="49"/>
      <c r="M83" s="49"/>
    </row>
    <row r="86" spans="2:13" x14ac:dyDescent="0.25">
      <c r="B86" s="86" t="s">
        <v>56</v>
      </c>
      <c r="C86" s="87"/>
    </row>
    <row r="87" spans="2:13" x14ac:dyDescent="0.25">
      <c r="B87" s="51" t="s">
        <v>75</v>
      </c>
      <c r="C87" s="51" t="s">
        <v>76</v>
      </c>
      <c r="D87" s="51" t="s">
        <v>77</v>
      </c>
      <c r="E87" s="51" t="s">
        <v>78</v>
      </c>
      <c r="F87" s="51" t="s">
        <v>79</v>
      </c>
      <c r="G87" s="51" t="s">
        <v>159</v>
      </c>
      <c r="H87" s="51" t="s">
        <v>160</v>
      </c>
      <c r="I87" s="49"/>
      <c r="J87" s="49"/>
      <c r="K87" s="49"/>
      <c r="L87" s="49"/>
      <c r="M87" s="49"/>
    </row>
    <row r="88" spans="2:13" x14ac:dyDescent="0.25">
      <c r="B88" s="50" t="s">
        <v>82</v>
      </c>
      <c r="C88" s="50" t="s">
        <v>83</v>
      </c>
      <c r="D88" s="50" t="s">
        <v>84</v>
      </c>
      <c r="E88" s="50" t="s">
        <v>85</v>
      </c>
      <c r="F88" s="50" t="s">
        <v>228</v>
      </c>
      <c r="G88" s="50" t="s">
        <v>85</v>
      </c>
      <c r="H88" s="50" t="s">
        <v>229</v>
      </c>
      <c r="I88" s="49"/>
      <c r="J88" s="49"/>
      <c r="K88" s="49"/>
      <c r="L88" s="49"/>
      <c r="M88" s="49"/>
    </row>
    <row r="89" spans="2:13" x14ac:dyDescent="0.25">
      <c r="B89" s="50" t="s">
        <v>82</v>
      </c>
      <c r="C89" s="50" t="s">
        <v>83</v>
      </c>
      <c r="D89" s="50" t="s">
        <v>84</v>
      </c>
      <c r="E89" s="50" t="s">
        <v>85</v>
      </c>
      <c r="F89" s="50" t="s">
        <v>230</v>
      </c>
      <c r="G89" s="50" t="s">
        <v>230</v>
      </c>
      <c r="H89" s="50" t="s">
        <v>231</v>
      </c>
      <c r="I89" s="49"/>
      <c r="J89" s="49"/>
      <c r="K89" s="49"/>
      <c r="L89" s="49"/>
      <c r="M89" s="49"/>
    </row>
    <row r="90" spans="2:13" x14ac:dyDescent="0.25">
      <c r="B90" s="50" t="s">
        <v>82</v>
      </c>
      <c r="C90" s="50" t="s">
        <v>83</v>
      </c>
      <c r="D90" s="50" t="s">
        <v>84</v>
      </c>
      <c r="E90" s="50" t="s">
        <v>85</v>
      </c>
      <c r="F90" s="50" t="s">
        <v>232</v>
      </c>
      <c r="G90" s="50" t="s">
        <v>85</v>
      </c>
      <c r="H90" s="50" t="s">
        <v>233</v>
      </c>
      <c r="I90" s="49"/>
      <c r="J90" s="49"/>
      <c r="K90" s="49"/>
      <c r="L90" s="49"/>
      <c r="M90" s="49"/>
    </row>
    <row r="91" spans="2:13" x14ac:dyDescent="0.25">
      <c r="B91" s="50" t="s">
        <v>102</v>
      </c>
      <c r="C91" s="50" t="s">
        <v>103</v>
      </c>
      <c r="D91" s="50" t="s">
        <v>104</v>
      </c>
      <c r="E91" s="50" t="s">
        <v>105</v>
      </c>
      <c r="F91" s="50" t="s">
        <v>142</v>
      </c>
      <c r="G91" s="50" t="s">
        <v>167</v>
      </c>
      <c r="H91" s="50" t="s">
        <v>234</v>
      </c>
      <c r="I91" s="49"/>
      <c r="J91" s="49"/>
      <c r="K91" s="49"/>
      <c r="L91" s="49"/>
      <c r="M91" s="49"/>
    </row>
    <row r="92" spans="2:13" x14ac:dyDescent="0.25">
      <c r="B92" s="50" t="s">
        <v>102</v>
      </c>
      <c r="C92" s="50" t="s">
        <v>108</v>
      </c>
      <c r="D92" s="50" t="s">
        <v>235</v>
      </c>
      <c r="E92" s="50" t="s">
        <v>105</v>
      </c>
      <c r="F92" s="50" t="s">
        <v>144</v>
      </c>
      <c r="G92" s="50" t="s">
        <v>111</v>
      </c>
      <c r="H92" s="50" t="s">
        <v>236</v>
      </c>
      <c r="I92" s="49"/>
      <c r="J92" s="49"/>
      <c r="K92" s="49"/>
      <c r="L92" s="49"/>
      <c r="M92" s="49"/>
    </row>
    <row r="93" spans="2:13" x14ac:dyDescent="0.25">
      <c r="B93" s="50" t="s">
        <v>113</v>
      </c>
      <c r="C93" s="50" t="s">
        <v>103</v>
      </c>
      <c r="D93" s="50" t="s">
        <v>114</v>
      </c>
      <c r="E93" s="50" t="s">
        <v>105</v>
      </c>
      <c r="F93" s="50" t="s">
        <v>142</v>
      </c>
      <c r="G93" s="50" t="s">
        <v>119</v>
      </c>
      <c r="H93" s="50" t="s">
        <v>237</v>
      </c>
      <c r="I93" s="49"/>
      <c r="J93" s="49"/>
      <c r="K93" s="49"/>
      <c r="L93" s="49"/>
      <c r="M93" s="49"/>
    </row>
    <row r="94" spans="2:13" x14ac:dyDescent="0.25">
      <c r="B94" s="50" t="s">
        <v>113</v>
      </c>
      <c r="C94" s="50" t="s">
        <v>108</v>
      </c>
      <c r="D94" s="50" t="s">
        <v>114</v>
      </c>
      <c r="E94" s="50" t="s">
        <v>105</v>
      </c>
      <c r="F94" s="50" t="s">
        <v>144</v>
      </c>
      <c r="G94" s="50" t="s">
        <v>119</v>
      </c>
      <c r="H94" s="50" t="s">
        <v>238</v>
      </c>
      <c r="I94" s="49"/>
      <c r="J94" s="49"/>
      <c r="K94" s="49"/>
      <c r="L94" s="49"/>
      <c r="M94" s="49"/>
    </row>
    <row r="95" spans="2:13" x14ac:dyDescent="0.25">
      <c r="B95" s="50" t="s">
        <v>113</v>
      </c>
      <c r="C95" s="50" t="s">
        <v>121</v>
      </c>
      <c r="D95" s="50" t="s">
        <v>114</v>
      </c>
      <c r="E95" s="50" t="s">
        <v>105</v>
      </c>
      <c r="F95" s="50" t="s">
        <v>239</v>
      </c>
      <c r="G95" s="50" t="s">
        <v>119</v>
      </c>
      <c r="H95" s="50" t="s">
        <v>240</v>
      </c>
      <c r="I95" s="49"/>
      <c r="J95" s="49"/>
      <c r="K95" s="49"/>
      <c r="L95" s="49"/>
      <c r="M95" s="49"/>
    </row>
    <row r="96" spans="2:13" x14ac:dyDescent="0.25">
      <c r="B96" s="50" t="s">
        <v>113</v>
      </c>
      <c r="C96" s="50" t="s">
        <v>124</v>
      </c>
      <c r="D96" s="50" t="s">
        <v>114</v>
      </c>
      <c r="E96" s="50" t="s">
        <v>105</v>
      </c>
      <c r="F96" s="50" t="s">
        <v>241</v>
      </c>
      <c r="G96" s="50" t="s">
        <v>119</v>
      </c>
      <c r="H96" s="50" t="s">
        <v>242</v>
      </c>
      <c r="I96" s="49"/>
      <c r="J96" s="49"/>
      <c r="K96" s="49"/>
      <c r="L96" s="49"/>
      <c r="M96" s="49"/>
    </row>
    <row r="97" spans="2:13" x14ac:dyDescent="0.25">
      <c r="B97" s="50" t="s">
        <v>127</v>
      </c>
      <c r="C97" s="50" t="s">
        <v>103</v>
      </c>
      <c r="D97" s="50" t="s">
        <v>128</v>
      </c>
      <c r="E97" s="50" t="s">
        <v>105</v>
      </c>
      <c r="F97" s="50" t="s">
        <v>142</v>
      </c>
      <c r="G97" s="50" t="s">
        <v>119</v>
      </c>
      <c r="H97" s="50" t="s">
        <v>243</v>
      </c>
      <c r="I97" s="49"/>
      <c r="J97" s="49"/>
      <c r="K97" s="49"/>
      <c r="L97" s="49"/>
      <c r="M97" s="49"/>
    </row>
    <row r="98" spans="2:13" x14ac:dyDescent="0.25">
      <c r="B98" s="50" t="s">
        <v>132</v>
      </c>
      <c r="C98" s="50" t="s">
        <v>103</v>
      </c>
      <c r="D98" s="50" t="s">
        <v>133</v>
      </c>
      <c r="E98" s="50" t="s">
        <v>85</v>
      </c>
      <c r="F98" s="50" t="s">
        <v>244</v>
      </c>
      <c r="G98" s="50" t="s">
        <v>245</v>
      </c>
      <c r="H98" s="50" t="s">
        <v>246</v>
      </c>
      <c r="I98" s="49"/>
      <c r="J98" s="49"/>
      <c r="K98" s="49"/>
      <c r="L98" s="49"/>
      <c r="M98" s="49"/>
    </row>
    <row r="99" spans="2:13" x14ac:dyDescent="0.25">
      <c r="B99" s="50" t="s">
        <v>132</v>
      </c>
      <c r="C99" s="50" t="s">
        <v>108</v>
      </c>
      <c r="D99" s="50" t="s">
        <v>133</v>
      </c>
      <c r="E99" s="50" t="s">
        <v>105</v>
      </c>
      <c r="F99" s="50" t="s">
        <v>142</v>
      </c>
      <c r="G99" s="50" t="s">
        <v>119</v>
      </c>
      <c r="H99" s="50" t="s">
        <v>247</v>
      </c>
      <c r="I99" s="49"/>
      <c r="J99" s="49"/>
      <c r="K99" s="49"/>
      <c r="L99" s="49"/>
      <c r="M99" s="49"/>
    </row>
    <row r="102" spans="2:13" x14ac:dyDescent="0.25">
      <c r="B102" s="86" t="s">
        <v>58</v>
      </c>
      <c r="C102" s="87"/>
    </row>
    <row r="103" spans="2:13" x14ac:dyDescent="0.25">
      <c r="B103" s="51" t="s">
        <v>75</v>
      </c>
      <c r="C103" s="51" t="s">
        <v>76</v>
      </c>
      <c r="D103" s="51" t="s">
        <v>77</v>
      </c>
      <c r="E103" s="51" t="s">
        <v>78</v>
      </c>
      <c r="F103" s="51" t="s">
        <v>79</v>
      </c>
      <c r="G103" s="51" t="s">
        <v>159</v>
      </c>
      <c r="H103" s="51" t="s">
        <v>160</v>
      </c>
      <c r="I103" s="49"/>
      <c r="J103" s="49"/>
      <c r="K103" s="49"/>
      <c r="L103" s="49"/>
      <c r="M103" s="49"/>
    </row>
    <row r="104" spans="2:13" x14ac:dyDescent="0.25">
      <c r="B104" s="50" t="s">
        <v>82</v>
      </c>
      <c r="C104" s="50" t="s">
        <v>83</v>
      </c>
      <c r="D104" s="50" t="s">
        <v>84</v>
      </c>
      <c r="E104" s="50" t="s">
        <v>85</v>
      </c>
      <c r="F104" s="50" t="s">
        <v>248</v>
      </c>
      <c r="G104" s="50" t="s">
        <v>85</v>
      </c>
      <c r="H104" s="50" t="s">
        <v>249</v>
      </c>
      <c r="I104" s="49"/>
      <c r="J104" s="49"/>
      <c r="K104" s="49"/>
      <c r="L104" s="49"/>
      <c r="M104" s="49"/>
    </row>
    <row r="105" spans="2:13" x14ac:dyDescent="0.25">
      <c r="B105" s="50" t="s">
        <v>82</v>
      </c>
      <c r="C105" s="50" t="s">
        <v>83</v>
      </c>
      <c r="D105" s="50" t="s">
        <v>84</v>
      </c>
      <c r="E105" s="50" t="s">
        <v>85</v>
      </c>
      <c r="F105" s="50" t="s">
        <v>250</v>
      </c>
      <c r="G105" s="50" t="s">
        <v>85</v>
      </c>
      <c r="H105" s="50" t="s">
        <v>251</v>
      </c>
      <c r="I105" s="49"/>
      <c r="J105" s="49"/>
      <c r="K105" s="49"/>
      <c r="L105" s="49"/>
      <c r="M105" s="49"/>
    </row>
    <row r="106" spans="2:13" x14ac:dyDescent="0.25">
      <c r="B106" s="50" t="s">
        <v>82</v>
      </c>
      <c r="C106" s="50" t="s">
        <v>83</v>
      </c>
      <c r="D106" s="50" t="s">
        <v>84</v>
      </c>
      <c r="E106" s="50" t="s">
        <v>85</v>
      </c>
      <c r="F106" s="50" t="s">
        <v>252</v>
      </c>
      <c r="G106" s="50" t="s">
        <v>85</v>
      </c>
      <c r="H106" s="50" t="s">
        <v>253</v>
      </c>
      <c r="I106" s="49"/>
      <c r="J106" s="49"/>
      <c r="K106" s="49"/>
      <c r="L106" s="49"/>
      <c r="M106" s="49"/>
    </row>
    <row r="107" spans="2:13" x14ac:dyDescent="0.25">
      <c r="B107" s="50" t="s">
        <v>102</v>
      </c>
      <c r="C107" s="50" t="s">
        <v>103</v>
      </c>
      <c r="D107" s="50" t="s">
        <v>104</v>
      </c>
      <c r="E107" s="50" t="s">
        <v>105</v>
      </c>
      <c r="F107" s="50" t="s">
        <v>254</v>
      </c>
      <c r="G107" s="50" t="s">
        <v>255</v>
      </c>
      <c r="H107" s="50" t="s">
        <v>256</v>
      </c>
      <c r="I107" s="49"/>
      <c r="J107" s="49"/>
      <c r="K107" s="49"/>
      <c r="L107" s="49"/>
      <c r="M107" s="49"/>
    </row>
    <row r="108" spans="2:13" x14ac:dyDescent="0.25">
      <c r="B108" s="50" t="s">
        <v>102</v>
      </c>
      <c r="C108" s="50" t="s">
        <v>121</v>
      </c>
      <c r="D108" s="50" t="s">
        <v>257</v>
      </c>
      <c r="E108" s="50" t="s">
        <v>105</v>
      </c>
      <c r="F108" s="50" t="s">
        <v>258</v>
      </c>
      <c r="G108" s="50" t="s">
        <v>259</v>
      </c>
      <c r="H108" s="50" t="s">
        <v>260</v>
      </c>
      <c r="I108" s="49"/>
      <c r="J108" s="49"/>
      <c r="K108" s="49"/>
      <c r="L108" s="49"/>
      <c r="M108" s="49"/>
    </row>
    <row r="109" spans="2:13" x14ac:dyDescent="0.25">
      <c r="B109" s="50" t="s">
        <v>113</v>
      </c>
      <c r="C109" s="50" t="s">
        <v>103</v>
      </c>
      <c r="D109" s="50" t="s">
        <v>114</v>
      </c>
      <c r="E109" s="50" t="s">
        <v>105</v>
      </c>
      <c r="F109" s="50" t="s">
        <v>254</v>
      </c>
      <c r="G109" s="50" t="s">
        <v>261</v>
      </c>
      <c r="H109" s="50" t="s">
        <v>262</v>
      </c>
      <c r="I109" s="49"/>
      <c r="J109" s="49"/>
      <c r="K109" s="49"/>
      <c r="L109" s="49"/>
      <c r="M109" s="49"/>
    </row>
    <row r="110" spans="2:13" x14ac:dyDescent="0.25">
      <c r="B110" s="50" t="s">
        <v>113</v>
      </c>
      <c r="C110" s="50" t="s">
        <v>108</v>
      </c>
      <c r="D110" s="50" t="s">
        <v>114</v>
      </c>
      <c r="E110" s="50" t="s">
        <v>105</v>
      </c>
      <c r="F110" s="50" t="s">
        <v>263</v>
      </c>
      <c r="G110" s="50" t="s">
        <v>119</v>
      </c>
      <c r="H110" s="50" t="s">
        <v>264</v>
      </c>
      <c r="I110" s="49"/>
      <c r="J110" s="49"/>
      <c r="K110" s="49"/>
      <c r="L110" s="49"/>
      <c r="M110" s="49"/>
    </row>
    <row r="111" spans="2:13" x14ac:dyDescent="0.25">
      <c r="B111" s="50" t="s">
        <v>113</v>
      </c>
      <c r="C111" s="50" t="s">
        <v>103</v>
      </c>
      <c r="D111" s="50" t="s">
        <v>114</v>
      </c>
      <c r="E111" s="50" t="s">
        <v>105</v>
      </c>
      <c r="F111" s="50" t="s">
        <v>258</v>
      </c>
      <c r="G111" s="50" t="s">
        <v>265</v>
      </c>
      <c r="H111" s="50" t="s">
        <v>266</v>
      </c>
      <c r="I111" s="49"/>
      <c r="J111" s="49"/>
      <c r="K111" s="49"/>
      <c r="L111" s="49"/>
      <c r="M111" s="49"/>
    </row>
    <row r="112" spans="2:13" x14ac:dyDescent="0.25">
      <c r="B112" s="50" t="s">
        <v>113</v>
      </c>
      <c r="C112" s="50" t="s">
        <v>121</v>
      </c>
      <c r="D112" s="50" t="s">
        <v>114</v>
      </c>
      <c r="E112" s="50" t="s">
        <v>85</v>
      </c>
      <c r="F112" s="50" t="s">
        <v>267</v>
      </c>
      <c r="G112" s="50" t="s">
        <v>177</v>
      </c>
      <c r="H112" s="50" t="s">
        <v>268</v>
      </c>
      <c r="I112" s="49"/>
      <c r="J112" s="49"/>
      <c r="K112" s="49"/>
      <c r="L112" s="49"/>
      <c r="M112" s="49"/>
    </row>
    <row r="113" spans="2:13" x14ac:dyDescent="0.25">
      <c r="B113" s="50" t="s">
        <v>127</v>
      </c>
      <c r="C113" s="50" t="s">
        <v>103</v>
      </c>
      <c r="D113" s="50" t="s">
        <v>128</v>
      </c>
      <c r="E113" s="50" t="s">
        <v>105</v>
      </c>
      <c r="F113" s="50" t="s">
        <v>269</v>
      </c>
      <c r="G113" s="50" t="s">
        <v>270</v>
      </c>
      <c r="H113" s="50" t="s">
        <v>271</v>
      </c>
      <c r="I113" s="49"/>
      <c r="J113" s="49"/>
      <c r="K113" s="49"/>
      <c r="L113" s="49"/>
      <c r="M113" s="49"/>
    </row>
    <row r="114" spans="2:13" x14ac:dyDescent="0.25">
      <c r="B114" s="50" t="s">
        <v>132</v>
      </c>
      <c r="C114" s="50" t="s">
        <v>103</v>
      </c>
      <c r="D114" s="50" t="s">
        <v>133</v>
      </c>
      <c r="E114" s="50" t="s">
        <v>85</v>
      </c>
      <c r="F114" s="50" t="s">
        <v>272</v>
      </c>
      <c r="G114" s="50" t="s">
        <v>85</v>
      </c>
      <c r="H114" s="50" t="s">
        <v>273</v>
      </c>
      <c r="I114" s="49"/>
      <c r="J114" s="49"/>
      <c r="K114" s="49"/>
      <c r="L114" s="49"/>
      <c r="M114" s="49"/>
    </row>
    <row r="115" spans="2:13" x14ac:dyDescent="0.25">
      <c r="B115" s="50" t="s">
        <v>132</v>
      </c>
      <c r="C115" s="50" t="s">
        <v>108</v>
      </c>
      <c r="D115" s="50" t="s">
        <v>133</v>
      </c>
      <c r="E115" s="50" t="s">
        <v>105</v>
      </c>
      <c r="F115" s="50" t="s">
        <v>274</v>
      </c>
      <c r="G115" s="50" t="s">
        <v>270</v>
      </c>
      <c r="H115" s="50" t="s">
        <v>275</v>
      </c>
      <c r="I115" s="49"/>
      <c r="J115" s="49"/>
      <c r="K115" s="49"/>
      <c r="L115" s="49"/>
      <c r="M115" s="49"/>
    </row>
    <row r="118" spans="2:13" x14ac:dyDescent="0.25">
      <c r="B118" s="64" t="s">
        <v>60</v>
      </c>
      <c r="C118" s="47"/>
      <c r="D118" s="47"/>
    </row>
    <row r="119" spans="2:13" x14ac:dyDescent="0.25">
      <c r="B119" s="51" t="s">
        <v>75</v>
      </c>
      <c r="C119" s="51" t="s">
        <v>76</v>
      </c>
      <c r="D119" s="51" t="s">
        <v>77</v>
      </c>
      <c r="E119" s="51" t="s">
        <v>78</v>
      </c>
      <c r="F119" s="51" t="s">
        <v>79</v>
      </c>
      <c r="G119" s="51" t="s">
        <v>159</v>
      </c>
      <c r="H119" s="51" t="s">
        <v>160</v>
      </c>
      <c r="I119" s="49"/>
      <c r="J119" s="49"/>
      <c r="K119" s="49"/>
      <c r="L119" s="49"/>
      <c r="M119" s="49"/>
    </row>
    <row r="120" spans="2:13" x14ac:dyDescent="0.25">
      <c r="B120" s="50" t="s">
        <v>82</v>
      </c>
      <c r="C120" s="50" t="s">
        <v>83</v>
      </c>
      <c r="D120" s="50" t="s">
        <v>84</v>
      </c>
      <c r="E120" s="50" t="s">
        <v>85</v>
      </c>
      <c r="F120" s="50" t="s">
        <v>276</v>
      </c>
      <c r="G120" s="50" t="s">
        <v>85</v>
      </c>
      <c r="H120" s="50" t="s">
        <v>277</v>
      </c>
      <c r="I120" s="49"/>
      <c r="J120" s="49"/>
      <c r="K120" s="49"/>
      <c r="L120" s="49"/>
      <c r="M120" s="49"/>
    </row>
    <row r="121" spans="2:13" x14ac:dyDescent="0.25">
      <c r="B121" s="50" t="s">
        <v>82</v>
      </c>
      <c r="C121" s="50" t="s">
        <v>83</v>
      </c>
      <c r="D121" s="50" t="s">
        <v>84</v>
      </c>
      <c r="E121" s="50" t="s">
        <v>85</v>
      </c>
      <c r="F121" s="50" t="s">
        <v>278</v>
      </c>
      <c r="G121" s="50" t="s">
        <v>87</v>
      </c>
      <c r="H121" s="50" t="s">
        <v>279</v>
      </c>
      <c r="I121" s="49"/>
      <c r="J121" s="49"/>
      <c r="K121" s="49"/>
      <c r="L121" s="49"/>
      <c r="M121" s="49"/>
    </row>
    <row r="122" spans="2:13" x14ac:dyDescent="0.25">
      <c r="B122" s="50" t="s">
        <v>82</v>
      </c>
      <c r="C122" s="50" t="s">
        <v>83</v>
      </c>
      <c r="D122" s="50" t="s">
        <v>84</v>
      </c>
      <c r="E122" s="50" t="s">
        <v>85</v>
      </c>
      <c r="F122" s="50" t="s">
        <v>280</v>
      </c>
      <c r="G122" s="50" t="s">
        <v>230</v>
      </c>
      <c r="H122" s="50" t="s">
        <v>281</v>
      </c>
      <c r="I122" s="49"/>
      <c r="J122" s="49"/>
      <c r="K122" s="49"/>
      <c r="L122" s="49"/>
      <c r="M122" s="49"/>
    </row>
    <row r="123" spans="2:13" x14ac:dyDescent="0.25">
      <c r="B123" s="50" t="s">
        <v>82</v>
      </c>
      <c r="C123" s="50" t="s">
        <v>83</v>
      </c>
      <c r="D123" s="50" t="s">
        <v>84</v>
      </c>
      <c r="E123" s="50" t="s">
        <v>85</v>
      </c>
      <c r="F123" s="50" t="s">
        <v>282</v>
      </c>
      <c r="G123" s="50" t="s">
        <v>283</v>
      </c>
      <c r="H123" s="50" t="s">
        <v>284</v>
      </c>
      <c r="I123" s="49"/>
      <c r="J123" s="49"/>
      <c r="K123" s="49"/>
      <c r="L123" s="49"/>
      <c r="M123" s="49"/>
    </row>
    <row r="124" spans="2:13" x14ac:dyDescent="0.25">
      <c r="B124" s="50" t="s">
        <v>102</v>
      </c>
      <c r="C124" s="50" t="s">
        <v>103</v>
      </c>
      <c r="D124" s="50" t="s">
        <v>104</v>
      </c>
      <c r="E124" s="50" t="s">
        <v>105</v>
      </c>
      <c r="F124" s="50" t="s">
        <v>142</v>
      </c>
      <c r="G124" s="50" t="s">
        <v>167</v>
      </c>
      <c r="H124" s="50" t="s">
        <v>285</v>
      </c>
      <c r="I124" s="49"/>
      <c r="J124" s="49"/>
      <c r="K124" s="49"/>
      <c r="L124" s="49"/>
      <c r="M124" s="49"/>
    </row>
    <row r="125" spans="2:13" x14ac:dyDescent="0.25">
      <c r="B125" s="50" t="s">
        <v>102</v>
      </c>
      <c r="C125" s="50" t="s">
        <v>108</v>
      </c>
      <c r="D125" s="50" t="s">
        <v>235</v>
      </c>
      <c r="E125" s="50" t="s">
        <v>105</v>
      </c>
      <c r="F125" s="50" t="s">
        <v>144</v>
      </c>
      <c r="G125" s="50" t="s">
        <v>111</v>
      </c>
      <c r="H125" s="50" t="s">
        <v>286</v>
      </c>
      <c r="I125" s="49"/>
      <c r="J125" s="49"/>
      <c r="K125" s="49"/>
      <c r="L125" s="49"/>
      <c r="M125" s="49"/>
    </row>
    <row r="126" spans="2:13" x14ac:dyDescent="0.25">
      <c r="B126" s="50" t="s">
        <v>113</v>
      </c>
      <c r="C126" s="50" t="s">
        <v>103</v>
      </c>
      <c r="D126" s="50" t="s">
        <v>114</v>
      </c>
      <c r="E126" s="50" t="s">
        <v>105</v>
      </c>
      <c r="F126" s="50" t="s">
        <v>287</v>
      </c>
      <c r="G126" s="50" t="s">
        <v>119</v>
      </c>
      <c r="H126" s="50" t="s">
        <v>288</v>
      </c>
      <c r="I126" s="49"/>
      <c r="J126" s="49"/>
      <c r="K126" s="49"/>
      <c r="L126" s="49"/>
      <c r="M126" s="49"/>
    </row>
    <row r="127" spans="2:13" x14ac:dyDescent="0.25">
      <c r="B127" s="50" t="s">
        <v>113</v>
      </c>
      <c r="C127" s="50" t="s">
        <v>108</v>
      </c>
      <c r="D127" s="50" t="s">
        <v>114</v>
      </c>
      <c r="E127" s="50" t="s">
        <v>105</v>
      </c>
      <c r="F127" s="50" t="s">
        <v>289</v>
      </c>
      <c r="G127" s="50" t="s">
        <v>290</v>
      </c>
      <c r="H127" s="50" t="s">
        <v>291</v>
      </c>
      <c r="I127" s="49"/>
      <c r="J127" s="49"/>
      <c r="K127" s="49"/>
      <c r="L127" s="49"/>
      <c r="M127" s="49"/>
    </row>
    <row r="128" spans="2:13" x14ac:dyDescent="0.25">
      <c r="B128" s="50" t="s">
        <v>113</v>
      </c>
      <c r="C128" s="50" t="s">
        <v>121</v>
      </c>
      <c r="D128" s="50" t="s">
        <v>114</v>
      </c>
      <c r="E128" s="50" t="s">
        <v>85</v>
      </c>
      <c r="F128" s="50" t="s">
        <v>292</v>
      </c>
      <c r="G128" s="50" t="s">
        <v>177</v>
      </c>
      <c r="H128" s="50" t="s">
        <v>293</v>
      </c>
      <c r="I128" s="49"/>
      <c r="J128" s="49"/>
      <c r="K128" s="49"/>
      <c r="L128" s="49"/>
      <c r="M128" s="49"/>
    </row>
    <row r="129" spans="2:13" x14ac:dyDescent="0.25">
      <c r="B129" s="50" t="s">
        <v>127</v>
      </c>
      <c r="C129" s="50" t="s">
        <v>103</v>
      </c>
      <c r="D129" s="50" t="s">
        <v>128</v>
      </c>
      <c r="E129" s="50" t="s">
        <v>85</v>
      </c>
      <c r="F129" s="50" t="s">
        <v>294</v>
      </c>
      <c r="G129" s="50" t="s">
        <v>295</v>
      </c>
      <c r="H129" s="50" t="s">
        <v>296</v>
      </c>
      <c r="I129" s="49"/>
      <c r="J129" s="49"/>
      <c r="K129" s="49"/>
      <c r="L129" s="49"/>
      <c r="M129" s="49"/>
    </row>
    <row r="130" spans="2:13" x14ac:dyDescent="0.25">
      <c r="B130" s="50" t="s">
        <v>132</v>
      </c>
      <c r="C130" s="50" t="s">
        <v>103</v>
      </c>
      <c r="D130" s="50" t="s">
        <v>133</v>
      </c>
      <c r="E130" s="50" t="s">
        <v>85</v>
      </c>
      <c r="F130" s="50" t="s">
        <v>297</v>
      </c>
      <c r="G130" s="50" t="s">
        <v>298</v>
      </c>
      <c r="H130" s="50" t="s">
        <v>299</v>
      </c>
      <c r="I130" s="49"/>
      <c r="J130" s="49"/>
      <c r="K130" s="49"/>
      <c r="L130" s="49"/>
      <c r="M130" s="49"/>
    </row>
    <row r="131" spans="2:13" x14ac:dyDescent="0.25">
      <c r="B131" s="50" t="s">
        <v>132</v>
      </c>
      <c r="C131" s="50" t="s">
        <v>108</v>
      </c>
      <c r="D131" s="50" t="s">
        <v>133</v>
      </c>
      <c r="E131" s="50" t="s">
        <v>105</v>
      </c>
      <c r="F131" s="50" t="s">
        <v>142</v>
      </c>
      <c r="G131" s="50" t="s">
        <v>119</v>
      </c>
      <c r="H131" s="50" t="s">
        <v>300</v>
      </c>
      <c r="I131" s="49"/>
      <c r="J131" s="49"/>
      <c r="K131" s="49"/>
      <c r="L131" s="49"/>
      <c r="M131" s="49"/>
    </row>
    <row r="134" spans="2:13" x14ac:dyDescent="0.25">
      <c r="B134" s="46" t="s">
        <v>62</v>
      </c>
      <c r="C134" s="47"/>
      <c r="D134" s="47"/>
    </row>
    <row r="135" spans="2:13" x14ac:dyDescent="0.25">
      <c r="B135" s="52" t="s">
        <v>75</v>
      </c>
      <c r="C135" s="52" t="s">
        <v>76</v>
      </c>
      <c r="D135" s="52" t="s">
        <v>77</v>
      </c>
      <c r="E135" s="52" t="s">
        <v>78</v>
      </c>
      <c r="F135" s="52" t="s">
        <v>79</v>
      </c>
      <c r="G135" s="52" t="s">
        <v>159</v>
      </c>
      <c r="H135" s="52" t="s">
        <v>160</v>
      </c>
      <c r="I135" s="49"/>
      <c r="J135" s="49"/>
      <c r="K135" s="49"/>
      <c r="L135" s="49"/>
      <c r="M135" s="49"/>
    </row>
    <row r="136" spans="2:13" x14ac:dyDescent="0.25">
      <c r="B136" s="52" t="s">
        <v>82</v>
      </c>
      <c r="C136" s="52" t="s">
        <v>83</v>
      </c>
      <c r="D136" s="52" t="s">
        <v>84</v>
      </c>
      <c r="E136" s="52" t="s">
        <v>85</v>
      </c>
      <c r="F136" s="52" t="s">
        <v>301</v>
      </c>
      <c r="G136" s="52" t="s">
        <v>85</v>
      </c>
      <c r="H136" s="52" t="s">
        <v>302</v>
      </c>
      <c r="I136" s="49"/>
      <c r="J136" s="49"/>
      <c r="K136" s="49"/>
      <c r="L136" s="49"/>
      <c r="M136" s="49"/>
    </row>
    <row r="137" spans="2:13" x14ac:dyDescent="0.25">
      <c r="B137" s="52" t="s">
        <v>82</v>
      </c>
      <c r="C137" s="52" t="s">
        <v>83</v>
      </c>
      <c r="D137" s="52" t="s">
        <v>84</v>
      </c>
      <c r="E137" s="52" t="s">
        <v>85</v>
      </c>
      <c r="F137" s="52" t="s">
        <v>303</v>
      </c>
      <c r="G137" s="52" t="s">
        <v>87</v>
      </c>
      <c r="H137" s="52" t="s">
        <v>304</v>
      </c>
      <c r="I137" s="49"/>
      <c r="J137" s="49"/>
      <c r="K137" s="49"/>
      <c r="L137" s="49"/>
      <c r="M137" s="49"/>
    </row>
    <row r="138" spans="2:13" x14ac:dyDescent="0.25">
      <c r="B138" s="52" t="s">
        <v>82</v>
      </c>
      <c r="C138" s="52" t="s">
        <v>83</v>
      </c>
      <c r="D138" s="52" t="s">
        <v>84</v>
      </c>
      <c r="E138" s="52" t="s">
        <v>85</v>
      </c>
      <c r="F138" s="52" t="s">
        <v>305</v>
      </c>
      <c r="G138" s="52" t="s">
        <v>85</v>
      </c>
      <c r="H138" s="52" t="s">
        <v>306</v>
      </c>
      <c r="I138" s="49"/>
      <c r="J138" s="49"/>
      <c r="K138" s="49"/>
      <c r="L138" s="49"/>
      <c r="M138" s="49"/>
    </row>
    <row r="139" spans="2:13" x14ac:dyDescent="0.25">
      <c r="B139" s="52" t="s">
        <v>307</v>
      </c>
      <c r="C139" s="52" t="s">
        <v>103</v>
      </c>
      <c r="D139" s="52" t="s">
        <v>104</v>
      </c>
      <c r="E139" s="52" t="s">
        <v>105</v>
      </c>
      <c r="F139" s="52" t="s">
        <v>308</v>
      </c>
      <c r="G139" s="52" t="s">
        <v>309</v>
      </c>
      <c r="H139" s="52" t="s">
        <v>310</v>
      </c>
      <c r="I139" s="49"/>
      <c r="J139" s="49"/>
      <c r="K139" s="49"/>
      <c r="L139" s="49"/>
      <c r="M139" s="49"/>
    </row>
    <row r="140" spans="2:13" x14ac:dyDescent="0.25">
      <c r="B140" s="52" t="s">
        <v>307</v>
      </c>
      <c r="C140" s="52" t="s">
        <v>108</v>
      </c>
      <c r="D140" s="52" t="s">
        <v>104</v>
      </c>
      <c r="E140" s="52" t="s">
        <v>105</v>
      </c>
      <c r="F140" s="52" t="s">
        <v>311</v>
      </c>
      <c r="G140" s="52" t="s">
        <v>312</v>
      </c>
      <c r="H140" s="52" t="s">
        <v>313</v>
      </c>
      <c r="I140" s="49"/>
      <c r="J140" s="49"/>
      <c r="K140" s="49"/>
      <c r="L140" s="49"/>
      <c r="M140" s="49"/>
    </row>
    <row r="141" spans="2:13" x14ac:dyDescent="0.25">
      <c r="B141" s="52" t="s">
        <v>113</v>
      </c>
      <c r="C141" s="52" t="s">
        <v>121</v>
      </c>
      <c r="D141" s="52" t="s">
        <v>114</v>
      </c>
      <c r="E141" s="52" t="s">
        <v>105</v>
      </c>
      <c r="F141" s="52" t="s">
        <v>314</v>
      </c>
      <c r="G141" s="52" t="s">
        <v>119</v>
      </c>
      <c r="H141" s="52" t="s">
        <v>315</v>
      </c>
      <c r="I141" s="49"/>
      <c r="J141" s="49"/>
      <c r="K141" s="49"/>
      <c r="L141" s="49"/>
      <c r="M141" s="49"/>
    </row>
    <row r="142" spans="2:13" x14ac:dyDescent="0.25">
      <c r="B142" s="52" t="s">
        <v>113</v>
      </c>
      <c r="C142" s="52" t="s">
        <v>103</v>
      </c>
      <c r="D142" s="52" t="s">
        <v>114</v>
      </c>
      <c r="E142" s="52" t="s">
        <v>105</v>
      </c>
      <c r="F142" s="52" t="s">
        <v>316</v>
      </c>
      <c r="G142" s="52" t="s">
        <v>317</v>
      </c>
      <c r="H142" s="52" t="s">
        <v>318</v>
      </c>
      <c r="I142" s="49"/>
      <c r="J142" s="49"/>
      <c r="K142" s="49"/>
      <c r="L142" s="49"/>
      <c r="M142" s="49"/>
    </row>
    <row r="143" spans="2:13" x14ac:dyDescent="0.25">
      <c r="B143" s="52" t="s">
        <v>127</v>
      </c>
      <c r="C143" s="52" t="s">
        <v>103</v>
      </c>
      <c r="D143" s="52" t="s">
        <v>128</v>
      </c>
      <c r="E143" s="52" t="s">
        <v>105</v>
      </c>
      <c r="F143" s="52" t="s">
        <v>319</v>
      </c>
      <c r="G143" s="52" t="s">
        <v>309</v>
      </c>
      <c r="H143" s="52" t="s">
        <v>320</v>
      </c>
      <c r="I143" s="49"/>
      <c r="J143" s="49"/>
      <c r="K143" s="49"/>
      <c r="L143" s="49"/>
      <c r="M143" s="49"/>
    </row>
    <row r="144" spans="2:13" x14ac:dyDescent="0.25">
      <c r="B144" s="52" t="s">
        <v>127</v>
      </c>
      <c r="C144" s="52" t="s">
        <v>108</v>
      </c>
      <c r="D144" s="52" t="s">
        <v>128</v>
      </c>
      <c r="E144" s="52" t="s">
        <v>85</v>
      </c>
      <c r="F144" s="52" t="s">
        <v>176</v>
      </c>
      <c r="G144" s="52" t="s">
        <v>177</v>
      </c>
      <c r="H144" s="52" t="s">
        <v>321</v>
      </c>
      <c r="I144" s="49"/>
      <c r="J144" s="49"/>
      <c r="K144" s="49"/>
      <c r="L144" s="49"/>
      <c r="M144" s="49"/>
    </row>
    <row r="145" spans="2:13" x14ac:dyDescent="0.25">
      <c r="B145" s="52" t="s">
        <v>132</v>
      </c>
      <c r="C145" s="52" t="s">
        <v>103</v>
      </c>
      <c r="D145" s="52" t="s">
        <v>133</v>
      </c>
      <c r="E145" s="52" t="s">
        <v>85</v>
      </c>
      <c r="F145" s="52" t="s">
        <v>322</v>
      </c>
      <c r="G145" s="52" t="s">
        <v>323</v>
      </c>
      <c r="H145" s="52" t="s">
        <v>180</v>
      </c>
      <c r="I145" s="49"/>
      <c r="J145" s="49"/>
      <c r="K145" s="49"/>
      <c r="L145" s="49"/>
      <c r="M145" s="49"/>
    </row>
    <row r="146" spans="2:13" x14ac:dyDescent="0.25">
      <c r="B146" s="52" t="s">
        <v>132</v>
      </c>
      <c r="C146" s="52" t="s">
        <v>108</v>
      </c>
      <c r="D146" s="52" t="s">
        <v>133</v>
      </c>
      <c r="E146" s="52" t="s">
        <v>105</v>
      </c>
      <c r="F146" s="52" t="s">
        <v>324</v>
      </c>
      <c r="G146" s="52" t="s">
        <v>309</v>
      </c>
      <c r="H146" s="52" t="s">
        <v>325</v>
      </c>
      <c r="I146" s="49"/>
      <c r="J146" s="49"/>
      <c r="K146" s="49"/>
      <c r="L146" s="49"/>
      <c r="M146" s="49"/>
    </row>
    <row r="149" spans="2:13" x14ac:dyDescent="0.25">
      <c r="B149" s="46" t="s">
        <v>69</v>
      </c>
      <c r="C149" s="47"/>
      <c r="D149" s="47"/>
    </row>
    <row r="150" spans="2:13" x14ac:dyDescent="0.25">
      <c r="B150" s="50" t="s">
        <v>75</v>
      </c>
      <c r="C150" s="50" t="s">
        <v>76</v>
      </c>
      <c r="D150" s="50" t="s">
        <v>77</v>
      </c>
      <c r="E150" s="50" t="s">
        <v>78</v>
      </c>
      <c r="F150" s="50" t="s">
        <v>79</v>
      </c>
      <c r="G150" s="50" t="s">
        <v>159</v>
      </c>
      <c r="H150" s="50" t="s">
        <v>160</v>
      </c>
      <c r="I150" s="49"/>
      <c r="J150" s="49"/>
      <c r="K150" s="49"/>
      <c r="L150" s="49"/>
    </row>
    <row r="151" spans="2:13" x14ac:dyDescent="0.25">
      <c r="B151" s="50" t="s">
        <v>82</v>
      </c>
      <c r="C151" s="50" t="s">
        <v>83</v>
      </c>
      <c r="D151" s="50" t="s">
        <v>84</v>
      </c>
      <c r="E151" s="50" t="s">
        <v>85</v>
      </c>
      <c r="F151" s="50" t="s">
        <v>326</v>
      </c>
      <c r="G151" s="50" t="s">
        <v>85</v>
      </c>
      <c r="H151" s="50" t="s">
        <v>327</v>
      </c>
      <c r="I151" s="49"/>
      <c r="J151" s="49"/>
      <c r="K151" s="49"/>
      <c r="L151" s="49"/>
    </row>
    <row r="152" spans="2:13" x14ac:dyDescent="0.25">
      <c r="B152" s="50" t="s">
        <v>82</v>
      </c>
      <c r="C152" s="50" t="s">
        <v>83</v>
      </c>
      <c r="D152" s="50" t="s">
        <v>84</v>
      </c>
      <c r="E152" s="50" t="s">
        <v>85</v>
      </c>
      <c r="F152" s="50" t="s">
        <v>328</v>
      </c>
      <c r="G152" s="50" t="s">
        <v>85</v>
      </c>
      <c r="H152" s="50" t="s">
        <v>329</v>
      </c>
      <c r="I152" s="49"/>
      <c r="J152" s="49"/>
      <c r="K152" s="49"/>
      <c r="L152" s="49"/>
    </row>
    <row r="153" spans="2:13" x14ac:dyDescent="0.25">
      <c r="B153" s="50" t="s">
        <v>82</v>
      </c>
      <c r="C153" s="50" t="s">
        <v>83</v>
      </c>
      <c r="D153" s="50" t="s">
        <v>84</v>
      </c>
      <c r="E153" s="50" t="s">
        <v>85</v>
      </c>
      <c r="F153" s="50" t="s">
        <v>330</v>
      </c>
      <c r="G153" s="50" t="s">
        <v>85</v>
      </c>
      <c r="H153" s="50" t="s">
        <v>331</v>
      </c>
      <c r="I153" s="49"/>
      <c r="J153" s="49"/>
      <c r="K153" s="49"/>
      <c r="L153" s="49"/>
    </row>
    <row r="154" spans="2:13" x14ac:dyDescent="0.25">
      <c r="B154" s="50" t="s">
        <v>113</v>
      </c>
      <c r="C154" s="50" t="s">
        <v>103</v>
      </c>
      <c r="D154" s="50" t="s">
        <v>114</v>
      </c>
      <c r="E154" s="50" t="s">
        <v>105</v>
      </c>
      <c r="F154" s="50" t="s">
        <v>332</v>
      </c>
      <c r="G154" s="50" t="s">
        <v>333</v>
      </c>
      <c r="H154" s="50" t="s">
        <v>334</v>
      </c>
      <c r="I154" s="49"/>
      <c r="J154" s="49"/>
      <c r="K154" s="49"/>
      <c r="L154" s="49"/>
    </row>
    <row r="155" spans="2:13" x14ac:dyDescent="0.25">
      <c r="B155" s="50" t="s">
        <v>113</v>
      </c>
      <c r="C155" s="50" t="s">
        <v>108</v>
      </c>
      <c r="D155" s="50" t="s">
        <v>114</v>
      </c>
      <c r="E155" s="50" t="s">
        <v>105</v>
      </c>
      <c r="F155" s="50" t="s">
        <v>335</v>
      </c>
      <c r="G155" s="50" t="s">
        <v>333</v>
      </c>
      <c r="H155" s="50" t="s">
        <v>336</v>
      </c>
      <c r="I155" s="49"/>
      <c r="J155" s="49"/>
      <c r="K155" s="49"/>
      <c r="L155" s="49"/>
    </row>
    <row r="156" spans="2:13" x14ac:dyDescent="0.25">
      <c r="B156" s="50" t="s">
        <v>113</v>
      </c>
      <c r="C156" s="50" t="s">
        <v>121</v>
      </c>
      <c r="D156" s="50" t="s">
        <v>114</v>
      </c>
      <c r="E156" s="50" t="s">
        <v>105</v>
      </c>
      <c r="F156" s="50" t="s">
        <v>337</v>
      </c>
      <c r="G156" s="50" t="s">
        <v>119</v>
      </c>
      <c r="H156" s="50" t="s">
        <v>338</v>
      </c>
      <c r="I156" s="49"/>
      <c r="J156" s="49"/>
      <c r="K156" s="49"/>
      <c r="L156" s="49"/>
    </row>
    <row r="157" spans="2:13" x14ac:dyDescent="0.25">
      <c r="B157" s="50" t="s">
        <v>113</v>
      </c>
      <c r="C157" s="50" t="s">
        <v>124</v>
      </c>
      <c r="D157" s="50" t="s">
        <v>114</v>
      </c>
      <c r="E157" s="50" t="s">
        <v>85</v>
      </c>
      <c r="F157" s="50" t="s">
        <v>339</v>
      </c>
      <c r="G157" s="50" t="s">
        <v>177</v>
      </c>
      <c r="H157" s="50" t="s">
        <v>340</v>
      </c>
      <c r="I157" s="49"/>
      <c r="J157" s="49"/>
      <c r="K157" s="49"/>
      <c r="L157" s="49"/>
    </row>
    <row r="158" spans="2:13" x14ac:dyDescent="0.25">
      <c r="B158" s="50" t="s">
        <v>127</v>
      </c>
      <c r="C158" s="50" t="s">
        <v>103</v>
      </c>
      <c r="D158" s="50" t="s">
        <v>128</v>
      </c>
      <c r="E158" s="50" t="s">
        <v>105</v>
      </c>
      <c r="F158" s="50" t="s">
        <v>341</v>
      </c>
      <c r="G158" s="50" t="s">
        <v>333</v>
      </c>
      <c r="H158" s="50" t="s">
        <v>342</v>
      </c>
      <c r="I158" s="49"/>
      <c r="J158" s="49"/>
      <c r="K158" s="49"/>
      <c r="L158" s="49"/>
    </row>
    <row r="159" spans="2:13" x14ac:dyDescent="0.25">
      <c r="B159" s="50" t="s">
        <v>127</v>
      </c>
      <c r="C159" s="50" t="s">
        <v>108</v>
      </c>
      <c r="D159" s="50" t="s">
        <v>128</v>
      </c>
      <c r="E159" s="50" t="s">
        <v>85</v>
      </c>
      <c r="F159" s="50" t="s">
        <v>343</v>
      </c>
      <c r="G159" s="50" t="s">
        <v>344</v>
      </c>
      <c r="H159" s="50" t="s">
        <v>345</v>
      </c>
      <c r="I159" s="49"/>
      <c r="J159" s="49"/>
      <c r="K159" s="49"/>
      <c r="L159" s="49"/>
    </row>
    <row r="160" spans="2:13" x14ac:dyDescent="0.25">
      <c r="B160" s="50" t="s">
        <v>132</v>
      </c>
      <c r="C160" s="50" t="s">
        <v>103</v>
      </c>
      <c r="D160" s="50" t="s">
        <v>133</v>
      </c>
      <c r="E160" s="50" t="s">
        <v>85</v>
      </c>
      <c r="F160" s="50" t="s">
        <v>346</v>
      </c>
      <c r="G160" s="50" t="s">
        <v>347</v>
      </c>
      <c r="H160" s="50" t="s">
        <v>180</v>
      </c>
      <c r="I160" s="49"/>
      <c r="J160" s="49"/>
      <c r="K160" s="49"/>
      <c r="L160" s="49"/>
    </row>
    <row r="161" spans="2:12" x14ac:dyDescent="0.25">
      <c r="B161" s="50" t="s">
        <v>132</v>
      </c>
      <c r="C161" s="50" t="s">
        <v>108</v>
      </c>
      <c r="D161" s="50" t="s">
        <v>133</v>
      </c>
      <c r="E161" s="50" t="s">
        <v>105</v>
      </c>
      <c r="F161" s="50" t="s">
        <v>332</v>
      </c>
      <c r="G161" s="50" t="s">
        <v>333</v>
      </c>
      <c r="H161" s="50" t="s">
        <v>348</v>
      </c>
      <c r="I161" s="49"/>
      <c r="J161" s="49"/>
      <c r="K161" s="49"/>
      <c r="L161" s="49"/>
    </row>
    <row r="164" spans="2:12" x14ac:dyDescent="0.25">
      <c r="B164" s="46" t="s">
        <v>71</v>
      </c>
      <c r="C164" s="47"/>
      <c r="D164" s="47"/>
    </row>
    <row r="165" spans="2:12" x14ac:dyDescent="0.25">
      <c r="B165" s="50" t="s">
        <v>75</v>
      </c>
      <c r="C165" s="50" t="s">
        <v>76</v>
      </c>
      <c r="D165" s="50" t="s">
        <v>77</v>
      </c>
      <c r="E165" s="50" t="s">
        <v>78</v>
      </c>
      <c r="F165" s="50" t="s">
        <v>79</v>
      </c>
      <c r="G165" s="50" t="s">
        <v>159</v>
      </c>
      <c r="H165" s="50" t="s">
        <v>160</v>
      </c>
      <c r="I165" s="49"/>
      <c r="J165" s="49"/>
      <c r="K165" s="49"/>
      <c r="L165" s="49"/>
    </row>
    <row r="166" spans="2:12" x14ac:dyDescent="0.25">
      <c r="B166" s="50" t="s">
        <v>82</v>
      </c>
      <c r="C166" s="50" t="s">
        <v>83</v>
      </c>
      <c r="D166" s="50" t="s">
        <v>84</v>
      </c>
      <c r="E166" s="50" t="s">
        <v>85</v>
      </c>
      <c r="F166" s="50" t="s">
        <v>349</v>
      </c>
      <c r="G166" s="50" t="s">
        <v>87</v>
      </c>
      <c r="H166" s="50" t="s">
        <v>350</v>
      </c>
      <c r="I166" s="49"/>
      <c r="J166" s="49"/>
      <c r="K166" s="49"/>
      <c r="L166" s="49"/>
    </row>
    <row r="167" spans="2:12" x14ac:dyDescent="0.25">
      <c r="B167" s="50" t="s">
        <v>82</v>
      </c>
      <c r="C167" s="50" t="s">
        <v>83</v>
      </c>
      <c r="D167" s="50" t="s">
        <v>84</v>
      </c>
      <c r="E167" s="50" t="s">
        <v>85</v>
      </c>
      <c r="F167" s="50" t="s">
        <v>351</v>
      </c>
      <c r="G167" s="50" t="s">
        <v>352</v>
      </c>
      <c r="H167" s="50" t="s">
        <v>353</v>
      </c>
      <c r="I167" s="49"/>
      <c r="J167" s="49"/>
      <c r="K167" s="49"/>
      <c r="L167" s="49"/>
    </row>
    <row r="168" spans="2:12" x14ac:dyDescent="0.25">
      <c r="B168" s="50" t="s">
        <v>82</v>
      </c>
      <c r="C168" s="50" t="s">
        <v>83</v>
      </c>
      <c r="D168" s="50" t="s">
        <v>99</v>
      </c>
      <c r="E168" s="50" t="s">
        <v>85</v>
      </c>
      <c r="F168" s="50" t="s">
        <v>165</v>
      </c>
      <c r="G168" s="50" t="s">
        <v>87</v>
      </c>
      <c r="H168" s="50" t="s">
        <v>354</v>
      </c>
      <c r="I168" s="49"/>
      <c r="J168" s="49"/>
      <c r="K168" s="49"/>
      <c r="L168" s="49"/>
    </row>
    <row r="169" spans="2:12" x14ac:dyDescent="0.25">
      <c r="B169" s="50" t="s">
        <v>102</v>
      </c>
      <c r="C169" s="50" t="s">
        <v>103</v>
      </c>
      <c r="D169" s="50" t="s">
        <v>104</v>
      </c>
      <c r="E169" s="50" t="s">
        <v>85</v>
      </c>
      <c r="F169" s="50" t="s">
        <v>355</v>
      </c>
      <c r="G169" s="50" t="s">
        <v>93</v>
      </c>
      <c r="H169" s="50" t="s">
        <v>356</v>
      </c>
      <c r="I169" s="49"/>
      <c r="J169" s="49"/>
      <c r="K169" s="49"/>
      <c r="L169" s="49"/>
    </row>
    <row r="170" spans="2:12" x14ac:dyDescent="0.25">
      <c r="B170" s="50" t="s">
        <v>102</v>
      </c>
      <c r="C170" s="50" t="s">
        <v>108</v>
      </c>
      <c r="D170" s="50" t="s">
        <v>104</v>
      </c>
      <c r="E170" s="50" t="s">
        <v>105</v>
      </c>
      <c r="F170" s="50" t="s">
        <v>357</v>
      </c>
      <c r="G170" s="50" t="s">
        <v>358</v>
      </c>
      <c r="H170" s="50" t="s">
        <v>359</v>
      </c>
      <c r="I170" s="49"/>
      <c r="J170" s="49"/>
      <c r="K170" s="49"/>
      <c r="L170" s="49"/>
    </row>
    <row r="171" spans="2:12" x14ac:dyDescent="0.25">
      <c r="B171" s="50" t="s">
        <v>113</v>
      </c>
      <c r="C171" s="50" t="s">
        <v>103</v>
      </c>
      <c r="D171" s="50" t="s">
        <v>114</v>
      </c>
      <c r="E171" s="50" t="s">
        <v>85</v>
      </c>
      <c r="F171" s="50" t="s">
        <v>360</v>
      </c>
      <c r="G171" s="50" t="s">
        <v>85</v>
      </c>
      <c r="H171" s="50" t="s">
        <v>361</v>
      </c>
      <c r="I171" s="49"/>
      <c r="J171" s="49"/>
      <c r="K171" s="49"/>
      <c r="L171" s="49"/>
    </row>
    <row r="172" spans="2:12" x14ac:dyDescent="0.25">
      <c r="B172" s="50" t="s">
        <v>113</v>
      </c>
      <c r="C172" s="50" t="s">
        <v>108</v>
      </c>
      <c r="D172" s="50" t="s">
        <v>114</v>
      </c>
      <c r="E172" s="50" t="s">
        <v>105</v>
      </c>
      <c r="F172" s="50" t="s">
        <v>362</v>
      </c>
      <c r="G172" s="50" t="s">
        <v>363</v>
      </c>
      <c r="H172" s="50" t="s">
        <v>364</v>
      </c>
      <c r="I172" s="49"/>
      <c r="J172" s="49"/>
      <c r="K172" s="49"/>
      <c r="L172" s="49"/>
    </row>
    <row r="173" spans="2:12" x14ac:dyDescent="0.25">
      <c r="B173" s="50" t="s">
        <v>113</v>
      </c>
      <c r="C173" s="50" t="s">
        <v>121</v>
      </c>
      <c r="D173" s="50" t="s">
        <v>114</v>
      </c>
      <c r="E173" s="50" t="s">
        <v>105</v>
      </c>
      <c r="F173" s="50" t="s">
        <v>365</v>
      </c>
      <c r="G173" s="50" t="s">
        <v>363</v>
      </c>
      <c r="H173" s="50" t="s">
        <v>366</v>
      </c>
      <c r="I173" s="49"/>
      <c r="J173" s="49"/>
      <c r="K173" s="49"/>
      <c r="L173" s="49"/>
    </row>
    <row r="174" spans="2:12" x14ac:dyDescent="0.25">
      <c r="B174" s="50" t="s">
        <v>113</v>
      </c>
      <c r="C174" s="50" t="s">
        <v>124</v>
      </c>
      <c r="D174" s="50" t="s">
        <v>114</v>
      </c>
      <c r="E174" s="50" t="s">
        <v>85</v>
      </c>
      <c r="F174" s="50" t="s">
        <v>267</v>
      </c>
      <c r="G174" s="50" t="s">
        <v>177</v>
      </c>
      <c r="H174" s="50" t="s">
        <v>367</v>
      </c>
      <c r="I174" s="49"/>
      <c r="J174" s="49"/>
      <c r="K174" s="49"/>
      <c r="L174" s="49"/>
    </row>
    <row r="175" spans="2:12" x14ac:dyDescent="0.25">
      <c r="B175" s="50" t="s">
        <v>127</v>
      </c>
      <c r="C175" s="50" t="s">
        <v>103</v>
      </c>
      <c r="D175" s="50" t="s">
        <v>128</v>
      </c>
      <c r="E175" s="50" t="s">
        <v>85</v>
      </c>
      <c r="F175" s="50" t="s">
        <v>368</v>
      </c>
      <c r="G175" s="50" t="s">
        <v>369</v>
      </c>
      <c r="H175" s="50" t="s">
        <v>370</v>
      </c>
      <c r="I175" s="49"/>
      <c r="J175" s="49"/>
      <c r="K175" s="49"/>
      <c r="L175" s="49"/>
    </row>
    <row r="176" spans="2:12" x14ac:dyDescent="0.25">
      <c r="B176" s="50" t="s">
        <v>132</v>
      </c>
      <c r="C176" s="50" t="s">
        <v>103</v>
      </c>
      <c r="D176" s="50" t="s">
        <v>133</v>
      </c>
      <c r="E176" s="50" t="s">
        <v>85</v>
      </c>
      <c r="F176" s="50" t="s">
        <v>371</v>
      </c>
      <c r="G176" s="50" t="s">
        <v>372</v>
      </c>
      <c r="H176" s="50" t="s">
        <v>180</v>
      </c>
      <c r="I176" s="49"/>
      <c r="J176" s="49"/>
      <c r="K176" s="49"/>
      <c r="L176" s="49"/>
    </row>
    <row r="177" spans="2:12" x14ac:dyDescent="0.25">
      <c r="B177" s="50" t="s">
        <v>132</v>
      </c>
      <c r="C177" s="50" t="s">
        <v>108</v>
      </c>
      <c r="D177" s="50" t="s">
        <v>133</v>
      </c>
      <c r="E177" s="50" t="s">
        <v>105</v>
      </c>
      <c r="F177" s="50" t="s">
        <v>373</v>
      </c>
      <c r="G177" s="50" t="s">
        <v>374</v>
      </c>
      <c r="H177" s="50" t="s">
        <v>375</v>
      </c>
      <c r="I177" s="49"/>
      <c r="J177" s="49"/>
      <c r="K177" s="49"/>
      <c r="L177" s="49"/>
    </row>
    <row r="180" spans="2:12" x14ac:dyDescent="0.25">
      <c r="B180" s="46" t="s">
        <v>65</v>
      </c>
      <c r="C180" s="47"/>
      <c r="D180" s="47"/>
    </row>
    <row r="181" spans="2:12" x14ac:dyDescent="0.25">
      <c r="B181" s="50" t="s">
        <v>75</v>
      </c>
      <c r="C181" s="50" t="s">
        <v>76</v>
      </c>
      <c r="D181" s="50" t="s">
        <v>77</v>
      </c>
      <c r="E181" s="50" t="s">
        <v>78</v>
      </c>
      <c r="F181" s="50" t="s">
        <v>79</v>
      </c>
      <c r="G181" s="50" t="s">
        <v>159</v>
      </c>
      <c r="H181" s="50" t="s">
        <v>160</v>
      </c>
      <c r="I181" s="49"/>
      <c r="J181" s="49"/>
      <c r="K181" s="49"/>
    </row>
    <row r="182" spans="2:12" x14ac:dyDescent="0.25">
      <c r="B182" s="50" t="s">
        <v>82</v>
      </c>
      <c r="C182" s="50" t="s">
        <v>83</v>
      </c>
      <c r="D182" s="50" t="s">
        <v>84</v>
      </c>
      <c r="E182" s="50" t="s">
        <v>85</v>
      </c>
      <c r="F182" s="50" t="s">
        <v>326</v>
      </c>
      <c r="G182" s="50" t="s">
        <v>85</v>
      </c>
      <c r="H182" s="50" t="s">
        <v>376</v>
      </c>
      <c r="I182" s="49"/>
      <c r="J182" s="49"/>
      <c r="K182" s="49"/>
    </row>
    <row r="183" spans="2:12" x14ac:dyDescent="0.25">
      <c r="B183" s="50" t="s">
        <v>82</v>
      </c>
      <c r="C183" s="50" t="s">
        <v>83</v>
      </c>
      <c r="D183" s="50" t="s">
        <v>84</v>
      </c>
      <c r="E183" s="50" t="s">
        <v>85</v>
      </c>
      <c r="F183" s="50" t="s">
        <v>328</v>
      </c>
      <c r="G183" s="50" t="s">
        <v>85</v>
      </c>
      <c r="H183" s="50" t="s">
        <v>377</v>
      </c>
      <c r="I183" s="49"/>
      <c r="J183" s="49"/>
      <c r="K183" s="49"/>
    </row>
    <row r="184" spans="2:12" x14ac:dyDescent="0.25">
      <c r="B184" s="50" t="s">
        <v>82</v>
      </c>
      <c r="C184" s="50" t="s">
        <v>83</v>
      </c>
      <c r="D184" s="50" t="s">
        <v>84</v>
      </c>
      <c r="E184" s="50" t="s">
        <v>85</v>
      </c>
      <c r="F184" s="50" t="s">
        <v>330</v>
      </c>
      <c r="G184" s="50" t="s">
        <v>85</v>
      </c>
      <c r="H184" s="50" t="s">
        <v>378</v>
      </c>
      <c r="I184" s="49"/>
      <c r="J184" s="49"/>
      <c r="K184" s="49"/>
    </row>
    <row r="185" spans="2:12" x14ac:dyDescent="0.25">
      <c r="B185" s="50" t="s">
        <v>113</v>
      </c>
      <c r="C185" s="50" t="s">
        <v>103</v>
      </c>
      <c r="D185" s="50" t="s">
        <v>114</v>
      </c>
      <c r="E185" s="50" t="s">
        <v>105</v>
      </c>
      <c r="F185" s="50" t="s">
        <v>332</v>
      </c>
      <c r="G185" s="50" t="s">
        <v>379</v>
      </c>
      <c r="H185" s="50" t="s">
        <v>380</v>
      </c>
      <c r="I185" s="49"/>
      <c r="J185" s="49"/>
      <c r="K185" s="49"/>
    </row>
    <row r="186" spans="2:12" x14ac:dyDescent="0.25">
      <c r="B186" s="50" t="s">
        <v>113</v>
      </c>
      <c r="C186" s="50" t="s">
        <v>108</v>
      </c>
      <c r="D186" s="50" t="s">
        <v>114</v>
      </c>
      <c r="E186" s="50" t="s">
        <v>105</v>
      </c>
      <c r="F186" s="50" t="s">
        <v>335</v>
      </c>
      <c r="G186" s="50" t="s">
        <v>381</v>
      </c>
      <c r="H186" s="50" t="s">
        <v>382</v>
      </c>
      <c r="I186" s="49"/>
      <c r="J186" s="49"/>
      <c r="K186" s="49"/>
    </row>
    <row r="187" spans="2:12" x14ac:dyDescent="0.25">
      <c r="B187" s="50" t="s">
        <v>113</v>
      </c>
      <c r="C187" s="50" t="s">
        <v>121</v>
      </c>
      <c r="D187" s="50" t="s">
        <v>114</v>
      </c>
      <c r="E187" s="50" t="s">
        <v>105</v>
      </c>
      <c r="F187" s="50" t="s">
        <v>337</v>
      </c>
      <c r="G187" s="50" t="s">
        <v>119</v>
      </c>
      <c r="H187" s="50" t="s">
        <v>383</v>
      </c>
      <c r="I187" s="49"/>
      <c r="J187" s="49"/>
      <c r="K187" s="49"/>
    </row>
    <row r="188" spans="2:12" x14ac:dyDescent="0.25">
      <c r="B188" s="50" t="s">
        <v>113</v>
      </c>
      <c r="C188" s="50" t="s">
        <v>124</v>
      </c>
      <c r="D188" s="50" t="s">
        <v>114</v>
      </c>
      <c r="E188" s="50" t="s">
        <v>85</v>
      </c>
      <c r="F188" s="50" t="s">
        <v>339</v>
      </c>
      <c r="G188" s="50" t="s">
        <v>177</v>
      </c>
      <c r="H188" s="50" t="s">
        <v>384</v>
      </c>
      <c r="I188" s="49"/>
      <c r="J188" s="49"/>
      <c r="K188" s="49"/>
    </row>
    <row r="189" spans="2:12" x14ac:dyDescent="0.25">
      <c r="B189" s="50" t="s">
        <v>127</v>
      </c>
      <c r="C189" s="50" t="s">
        <v>103</v>
      </c>
      <c r="D189" s="50" t="s">
        <v>128</v>
      </c>
      <c r="E189" s="50" t="s">
        <v>105</v>
      </c>
      <c r="F189" s="50" t="s">
        <v>341</v>
      </c>
      <c r="G189" s="50" t="s">
        <v>379</v>
      </c>
      <c r="H189" s="50" t="s">
        <v>385</v>
      </c>
      <c r="I189" s="49"/>
      <c r="J189" s="49"/>
      <c r="K189" s="49"/>
    </row>
    <row r="190" spans="2:12" x14ac:dyDescent="0.25">
      <c r="B190" s="50" t="s">
        <v>127</v>
      </c>
      <c r="C190" s="50" t="s">
        <v>108</v>
      </c>
      <c r="D190" s="50" t="s">
        <v>128</v>
      </c>
      <c r="E190" s="50" t="s">
        <v>85</v>
      </c>
      <c r="F190" s="50" t="s">
        <v>343</v>
      </c>
      <c r="G190" s="50" t="s">
        <v>386</v>
      </c>
      <c r="H190" s="50" t="s">
        <v>345</v>
      </c>
      <c r="I190" s="49"/>
      <c r="J190" s="49"/>
      <c r="K190" s="49"/>
    </row>
    <row r="191" spans="2:12" x14ac:dyDescent="0.25">
      <c r="B191" s="50" t="s">
        <v>132</v>
      </c>
      <c r="C191" s="50" t="s">
        <v>103</v>
      </c>
      <c r="D191" s="50" t="s">
        <v>133</v>
      </c>
      <c r="E191" s="50" t="s">
        <v>85</v>
      </c>
      <c r="F191" s="50" t="s">
        <v>346</v>
      </c>
      <c r="G191" s="50" t="s">
        <v>347</v>
      </c>
      <c r="H191" s="50" t="s">
        <v>180</v>
      </c>
      <c r="I191" s="49"/>
      <c r="J191" s="49"/>
      <c r="K191" s="49"/>
    </row>
    <row r="192" spans="2:12" x14ac:dyDescent="0.25">
      <c r="B192" s="85"/>
      <c r="C192" s="85"/>
      <c r="D192" s="85"/>
      <c r="E192" s="85"/>
      <c r="F192" s="85"/>
      <c r="G192" s="32"/>
      <c r="H192" s="32"/>
      <c r="I192" s="54"/>
      <c r="J192" s="54"/>
      <c r="K192" s="54"/>
      <c r="L192" s="32"/>
    </row>
    <row r="193" spans="2:12" x14ac:dyDescent="0.25">
      <c r="B193" s="85"/>
      <c r="C193" s="85"/>
      <c r="D193" s="85"/>
      <c r="E193" s="85"/>
      <c r="F193" s="85"/>
      <c r="G193" s="32"/>
      <c r="H193" s="32"/>
      <c r="I193" s="32"/>
      <c r="J193" s="32"/>
      <c r="K193" s="32"/>
      <c r="L193" s="32"/>
    </row>
    <row r="194" spans="2:12" x14ac:dyDescent="0.25">
      <c r="B194" s="85"/>
      <c r="C194" s="85"/>
      <c r="D194" s="85"/>
      <c r="E194" s="85"/>
      <c r="F194" s="85"/>
      <c r="G194" s="32"/>
      <c r="H194" s="32"/>
      <c r="I194" s="32"/>
      <c r="J194" s="32"/>
      <c r="K194" s="32"/>
      <c r="L194" s="32"/>
    </row>
    <row r="195" spans="2:12" x14ac:dyDescent="0.25"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2:12" x14ac:dyDescent="0.25">
      <c r="B196" s="84"/>
      <c r="C196" s="85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2:12" x14ac:dyDescent="0.25"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2:12" x14ac:dyDescent="0.25"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2:12" x14ac:dyDescent="0.25"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2:12" x14ac:dyDescent="0.25"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2:12" x14ac:dyDescent="0.25"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  <row r="202" spans="2:12" x14ac:dyDescent="0.25"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</row>
    <row r="203" spans="2:12" x14ac:dyDescent="0.25"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</row>
    <row r="204" spans="2:12" x14ac:dyDescent="0.25"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</row>
    <row r="205" spans="2:12" x14ac:dyDescent="0.25"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</row>
    <row r="206" spans="2:12" x14ac:dyDescent="0.25"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</row>
    <row r="207" spans="2:12" x14ac:dyDescent="0.25"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</row>
    <row r="208" spans="2:12" x14ac:dyDescent="0.25"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</row>
    <row r="209" spans="2:12" x14ac:dyDescent="0.25"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</row>
    <row r="210" spans="2:12" x14ac:dyDescent="0.25"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</row>
    <row r="211" spans="2:12" x14ac:dyDescent="0.25"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</row>
    <row r="212" spans="2:12" x14ac:dyDescent="0.25"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</row>
    <row r="213" spans="2:12" x14ac:dyDescent="0.25"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</row>
    <row r="214" spans="2:12" x14ac:dyDescent="0.25"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</row>
    <row r="215" spans="2:12" x14ac:dyDescent="0.25"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</row>
    <row r="216" spans="2:12" x14ac:dyDescent="0.25">
      <c r="B216" s="84"/>
      <c r="C216" s="84"/>
      <c r="D216" s="32"/>
      <c r="E216" s="32"/>
      <c r="F216" s="32"/>
      <c r="G216" s="32"/>
      <c r="H216" s="32"/>
      <c r="I216" s="32"/>
      <c r="J216" s="32"/>
      <c r="K216" s="32"/>
      <c r="L216" s="32"/>
    </row>
    <row r="217" spans="2:12" x14ac:dyDescent="0.25">
      <c r="B217" s="54"/>
      <c r="C217" s="54"/>
      <c r="D217" s="54"/>
      <c r="E217" s="54"/>
      <c r="F217" s="54"/>
      <c r="G217" s="54"/>
      <c r="H217" s="54"/>
      <c r="I217" s="32"/>
      <c r="J217" s="32"/>
      <c r="K217" s="32"/>
      <c r="L217" s="32"/>
    </row>
    <row r="218" spans="2:12" x14ac:dyDescent="0.25">
      <c r="B218" s="54"/>
      <c r="C218" s="54"/>
      <c r="D218" s="54"/>
      <c r="E218" s="54"/>
      <c r="F218" s="54"/>
      <c r="G218" s="54"/>
      <c r="H218" s="54"/>
      <c r="I218" s="32"/>
      <c r="J218" s="32"/>
      <c r="K218" s="32"/>
      <c r="L218" s="32"/>
    </row>
    <row r="219" spans="2:12" x14ac:dyDescent="0.25">
      <c r="B219" s="54"/>
      <c r="C219" s="54"/>
      <c r="D219" s="54"/>
      <c r="E219" s="54"/>
      <c r="F219" s="54"/>
      <c r="G219" s="54"/>
      <c r="H219" s="54"/>
      <c r="I219" s="32"/>
      <c r="J219" s="32"/>
      <c r="K219" s="32"/>
      <c r="L219" s="32"/>
    </row>
    <row r="220" spans="2:12" x14ac:dyDescent="0.25">
      <c r="B220" s="54"/>
      <c r="C220" s="54"/>
      <c r="D220" s="54"/>
      <c r="E220" s="54"/>
      <c r="F220" s="54"/>
      <c r="G220" s="54"/>
      <c r="H220" s="54"/>
      <c r="I220" s="32"/>
      <c r="J220" s="32"/>
      <c r="K220" s="32"/>
      <c r="L220" s="32"/>
    </row>
    <row r="221" spans="2:12" x14ac:dyDescent="0.25">
      <c r="B221" s="54"/>
      <c r="C221" s="54"/>
      <c r="D221" s="54"/>
      <c r="E221" s="54"/>
      <c r="F221" s="54"/>
      <c r="G221" s="54"/>
      <c r="H221" s="54"/>
      <c r="I221" s="32"/>
      <c r="J221" s="32"/>
      <c r="K221" s="32"/>
      <c r="L221" s="32"/>
    </row>
    <row r="222" spans="2:12" x14ac:dyDescent="0.25">
      <c r="B222" s="54"/>
      <c r="C222" s="54"/>
      <c r="D222" s="54"/>
      <c r="E222" s="54"/>
      <c r="F222" s="54"/>
      <c r="G222" s="54"/>
      <c r="H222" s="54"/>
      <c r="I222" s="32"/>
      <c r="J222" s="32"/>
      <c r="K222" s="32"/>
      <c r="L222" s="32"/>
    </row>
    <row r="223" spans="2:12" x14ac:dyDescent="0.25">
      <c r="B223" s="54"/>
      <c r="C223" s="54"/>
      <c r="D223" s="54"/>
      <c r="E223" s="54"/>
      <c r="F223" s="54"/>
      <c r="G223" s="54"/>
      <c r="H223" s="54"/>
      <c r="I223" s="32"/>
      <c r="J223" s="32"/>
      <c r="K223" s="32"/>
      <c r="L223" s="32"/>
    </row>
    <row r="224" spans="2:12" x14ac:dyDescent="0.25">
      <c r="B224" s="54"/>
      <c r="C224" s="54"/>
      <c r="D224" s="54"/>
      <c r="E224" s="54"/>
      <c r="F224" s="54"/>
      <c r="G224" s="54"/>
      <c r="H224" s="54"/>
      <c r="I224" s="32"/>
      <c r="J224" s="32"/>
      <c r="K224" s="32"/>
      <c r="L224" s="32"/>
    </row>
    <row r="225" spans="2:12" x14ac:dyDescent="0.25">
      <c r="B225" s="54"/>
      <c r="C225" s="54"/>
      <c r="D225" s="54"/>
      <c r="E225" s="54"/>
      <c r="F225" s="54"/>
      <c r="G225" s="54"/>
      <c r="H225" s="54"/>
      <c r="I225" s="32"/>
      <c r="J225" s="32"/>
      <c r="K225" s="32"/>
      <c r="L225" s="32"/>
    </row>
    <row r="226" spans="2:12" x14ac:dyDescent="0.25">
      <c r="B226" s="54"/>
      <c r="C226" s="54"/>
      <c r="D226" s="54"/>
      <c r="E226" s="54"/>
      <c r="F226" s="54"/>
      <c r="G226" s="54"/>
      <c r="H226" s="54"/>
      <c r="I226" s="32"/>
      <c r="J226" s="32"/>
      <c r="K226" s="32"/>
      <c r="L226" s="32"/>
    </row>
    <row r="227" spans="2:12" x14ac:dyDescent="0.25">
      <c r="B227" s="54"/>
      <c r="C227" s="54"/>
      <c r="D227" s="54"/>
      <c r="E227" s="54"/>
      <c r="F227" s="54"/>
      <c r="G227" s="54"/>
      <c r="H227" s="54"/>
      <c r="I227" s="32"/>
      <c r="J227" s="32"/>
      <c r="K227" s="32"/>
      <c r="L227" s="32"/>
    </row>
    <row r="228" spans="2:12" x14ac:dyDescent="0.25">
      <c r="B228" s="54"/>
      <c r="C228" s="54"/>
      <c r="D228" s="54"/>
      <c r="E228" s="54"/>
      <c r="F228" s="54"/>
      <c r="G228" s="54"/>
      <c r="H228" s="54"/>
      <c r="I228" s="32"/>
      <c r="J228" s="32"/>
      <c r="K228" s="32"/>
      <c r="L228" s="32"/>
    </row>
    <row r="229" spans="2:12" x14ac:dyDescent="0.25"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</row>
    <row r="230" spans="2:12" x14ac:dyDescent="0.25"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</row>
    <row r="231" spans="2:12" x14ac:dyDescent="0.25">
      <c r="B231" s="84"/>
      <c r="C231" s="85"/>
      <c r="D231" s="32"/>
      <c r="E231" s="32"/>
      <c r="F231" s="32"/>
      <c r="G231" s="32"/>
      <c r="H231" s="32"/>
      <c r="I231" s="32"/>
      <c r="J231" s="32"/>
      <c r="K231" s="32"/>
      <c r="L231" s="32"/>
    </row>
    <row r="232" spans="2:12" x14ac:dyDescent="0.25">
      <c r="B232" s="54"/>
      <c r="C232" s="54"/>
      <c r="D232" s="54"/>
      <c r="E232" s="54"/>
      <c r="F232" s="54"/>
      <c r="G232" s="54"/>
      <c r="H232" s="54"/>
      <c r="I232" s="32"/>
      <c r="J232" s="32"/>
      <c r="K232" s="32"/>
      <c r="L232" s="32"/>
    </row>
    <row r="233" spans="2:12" x14ac:dyDescent="0.25">
      <c r="B233" s="54"/>
      <c r="C233" s="54"/>
      <c r="D233" s="54"/>
      <c r="E233" s="54"/>
      <c r="F233" s="54"/>
      <c r="G233" s="54"/>
      <c r="H233" s="54"/>
      <c r="I233" s="32"/>
      <c r="J233" s="32"/>
      <c r="K233" s="32"/>
      <c r="L233" s="32"/>
    </row>
    <row r="234" spans="2:12" x14ac:dyDescent="0.25">
      <c r="B234" s="54"/>
      <c r="C234" s="54"/>
      <c r="D234" s="54"/>
      <c r="E234" s="54"/>
      <c r="F234" s="54"/>
      <c r="G234" s="54"/>
      <c r="H234" s="54"/>
      <c r="I234" s="32"/>
      <c r="J234" s="32"/>
      <c r="K234" s="32"/>
      <c r="L234" s="32"/>
    </row>
    <row r="235" spans="2:12" x14ac:dyDescent="0.25">
      <c r="B235" s="54"/>
      <c r="C235" s="54"/>
      <c r="D235" s="54"/>
      <c r="E235" s="54"/>
      <c r="F235" s="54"/>
      <c r="G235" s="54"/>
      <c r="H235" s="54"/>
      <c r="I235" s="32"/>
      <c r="J235" s="32"/>
      <c r="K235" s="32"/>
      <c r="L235" s="32"/>
    </row>
    <row r="236" spans="2:12" x14ac:dyDescent="0.25">
      <c r="B236" s="54"/>
      <c r="C236" s="54"/>
      <c r="D236" s="54"/>
      <c r="E236" s="54"/>
      <c r="F236" s="54"/>
      <c r="G236" s="54"/>
      <c r="H236" s="54"/>
      <c r="I236" s="32"/>
      <c r="J236" s="32"/>
      <c r="K236" s="32"/>
      <c r="L236" s="32"/>
    </row>
    <row r="237" spans="2:12" x14ac:dyDescent="0.25">
      <c r="B237" s="54"/>
      <c r="C237" s="54"/>
      <c r="D237" s="54"/>
      <c r="E237" s="54"/>
      <c r="F237" s="54"/>
      <c r="G237" s="54"/>
      <c r="H237" s="54"/>
      <c r="I237" s="32"/>
      <c r="J237" s="32"/>
      <c r="K237" s="32"/>
      <c r="L237" s="32"/>
    </row>
    <row r="238" spans="2:12" x14ac:dyDescent="0.25">
      <c r="B238" s="54"/>
      <c r="C238" s="54"/>
      <c r="D238" s="54"/>
      <c r="E238" s="54"/>
      <c r="F238" s="54"/>
      <c r="G238" s="54"/>
      <c r="H238" s="54"/>
      <c r="I238" s="32"/>
      <c r="J238" s="32"/>
      <c r="K238" s="32"/>
      <c r="L238" s="32"/>
    </row>
    <row r="239" spans="2:12" x14ac:dyDescent="0.25">
      <c r="B239" s="54"/>
      <c r="C239" s="54"/>
      <c r="D239" s="54"/>
      <c r="E239" s="54"/>
      <c r="F239" s="54"/>
      <c r="G239" s="54"/>
      <c r="H239" s="54"/>
      <c r="I239" s="32"/>
      <c r="J239" s="32"/>
      <c r="K239" s="32"/>
      <c r="L239" s="32"/>
    </row>
    <row r="240" spans="2:12" x14ac:dyDescent="0.25">
      <c r="B240" s="54"/>
      <c r="C240" s="54"/>
      <c r="D240" s="54"/>
      <c r="E240" s="54"/>
      <c r="F240" s="54"/>
      <c r="G240" s="54"/>
      <c r="H240" s="54"/>
      <c r="I240" s="32"/>
      <c r="J240" s="32"/>
      <c r="K240" s="32"/>
      <c r="L240" s="32"/>
    </row>
    <row r="241" spans="2:12" x14ac:dyDescent="0.25">
      <c r="B241" s="54"/>
      <c r="C241" s="54"/>
      <c r="D241" s="54"/>
      <c r="E241" s="54"/>
      <c r="F241" s="54"/>
      <c r="G241" s="54"/>
      <c r="H241" s="54"/>
      <c r="I241" s="32"/>
      <c r="J241" s="32"/>
      <c r="K241" s="32"/>
      <c r="L241" s="32"/>
    </row>
    <row r="242" spans="2:12" x14ac:dyDescent="0.25">
      <c r="B242" s="54"/>
      <c r="C242" s="54"/>
      <c r="D242" s="54"/>
      <c r="E242" s="54"/>
      <c r="F242" s="54"/>
      <c r="G242" s="54"/>
      <c r="H242" s="54"/>
      <c r="I242" s="32"/>
      <c r="J242" s="32"/>
      <c r="K242" s="32"/>
      <c r="L242" s="32"/>
    </row>
    <row r="243" spans="2:12" x14ac:dyDescent="0.25">
      <c r="B243" s="54"/>
      <c r="C243" s="54"/>
      <c r="D243" s="54"/>
      <c r="E243" s="54"/>
      <c r="F243" s="54"/>
      <c r="G243" s="54"/>
      <c r="H243" s="54"/>
      <c r="I243" s="32"/>
      <c r="J243" s="32"/>
      <c r="K243" s="32"/>
      <c r="L243" s="32"/>
    </row>
    <row r="244" spans="2:12" x14ac:dyDescent="0.25">
      <c r="B244" s="54"/>
      <c r="C244" s="54"/>
      <c r="D244" s="54"/>
      <c r="E244" s="54"/>
      <c r="F244" s="54"/>
      <c r="G244" s="54"/>
      <c r="H244" s="54"/>
      <c r="I244" s="32"/>
      <c r="J244" s="32"/>
      <c r="K244" s="32"/>
      <c r="L244" s="32"/>
    </row>
    <row r="245" spans="2:12" x14ac:dyDescent="0.25"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</row>
    <row r="246" spans="2:12" x14ac:dyDescent="0.25"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</row>
    <row r="247" spans="2:12" x14ac:dyDescent="0.25">
      <c r="B247" s="84"/>
      <c r="C247" s="85"/>
      <c r="D247" s="32"/>
      <c r="E247" s="32"/>
      <c r="F247" s="32"/>
      <c r="G247" s="32"/>
      <c r="H247" s="32"/>
      <c r="I247" s="32"/>
      <c r="J247" s="32"/>
      <c r="K247" s="32"/>
      <c r="L247" s="32"/>
    </row>
    <row r="248" spans="2:12" x14ac:dyDescent="0.25">
      <c r="B248" s="54"/>
      <c r="C248" s="54"/>
      <c r="D248" s="54"/>
      <c r="E248" s="54"/>
      <c r="F248" s="54"/>
      <c r="G248" s="54"/>
      <c r="H248" s="54"/>
      <c r="I248" s="32"/>
      <c r="J248" s="32"/>
      <c r="K248" s="32"/>
      <c r="L248" s="32"/>
    </row>
    <row r="249" spans="2:12" x14ac:dyDescent="0.25">
      <c r="B249" s="54"/>
      <c r="C249" s="54"/>
      <c r="D249" s="54"/>
      <c r="E249" s="54"/>
      <c r="F249" s="54"/>
      <c r="G249" s="54"/>
      <c r="H249" s="54"/>
      <c r="I249" s="32"/>
      <c r="J249" s="32"/>
      <c r="K249" s="32"/>
      <c r="L249" s="32"/>
    </row>
    <row r="250" spans="2:12" x14ac:dyDescent="0.25">
      <c r="B250" s="54"/>
      <c r="C250" s="54"/>
      <c r="D250" s="54"/>
      <c r="E250" s="54"/>
      <c r="F250" s="54"/>
      <c r="G250" s="54"/>
      <c r="H250" s="54"/>
      <c r="I250" s="32"/>
      <c r="J250" s="32"/>
      <c r="K250" s="32"/>
      <c r="L250" s="32"/>
    </row>
    <row r="251" spans="2:12" x14ac:dyDescent="0.25">
      <c r="B251" s="54"/>
      <c r="C251" s="54"/>
      <c r="D251" s="54"/>
      <c r="E251" s="54"/>
      <c r="F251" s="54"/>
      <c r="G251" s="54"/>
      <c r="H251" s="54"/>
      <c r="I251" s="32"/>
      <c r="J251" s="32"/>
      <c r="K251" s="32"/>
      <c r="L251" s="32"/>
    </row>
    <row r="252" spans="2:12" x14ac:dyDescent="0.25">
      <c r="B252" s="54"/>
      <c r="C252" s="54"/>
      <c r="D252" s="54"/>
      <c r="E252" s="54"/>
      <c r="F252" s="54"/>
      <c r="G252" s="54"/>
      <c r="H252" s="54"/>
      <c r="I252" s="32"/>
      <c r="J252" s="32"/>
      <c r="K252" s="32"/>
      <c r="L252" s="32"/>
    </row>
    <row r="253" spans="2:12" x14ac:dyDescent="0.25">
      <c r="B253" s="54"/>
      <c r="C253" s="54"/>
      <c r="D253" s="54"/>
      <c r="E253" s="54"/>
      <c r="F253" s="54"/>
      <c r="G253" s="54"/>
      <c r="H253" s="54"/>
      <c r="I253" s="32"/>
      <c r="J253" s="32"/>
      <c r="K253" s="32"/>
      <c r="L253" s="32"/>
    </row>
    <row r="254" spans="2:12" x14ac:dyDescent="0.25">
      <c r="B254" s="54"/>
      <c r="C254" s="54"/>
      <c r="D254" s="54"/>
      <c r="E254" s="54"/>
      <c r="F254" s="54"/>
      <c r="G254" s="54"/>
      <c r="H254" s="54"/>
      <c r="I254" s="32"/>
      <c r="J254" s="32"/>
      <c r="K254" s="32"/>
      <c r="L254" s="32"/>
    </row>
    <row r="255" spans="2:12" x14ac:dyDescent="0.25">
      <c r="B255" s="54"/>
      <c r="C255" s="54"/>
      <c r="D255" s="54"/>
      <c r="E255" s="54"/>
      <c r="F255" s="54"/>
      <c r="G255" s="54"/>
      <c r="H255" s="54"/>
      <c r="I255" s="32"/>
      <c r="J255" s="32"/>
      <c r="K255" s="32"/>
      <c r="L255" s="32"/>
    </row>
    <row r="256" spans="2:12" x14ac:dyDescent="0.25">
      <c r="B256" s="54"/>
      <c r="C256" s="54"/>
      <c r="D256" s="54"/>
      <c r="E256" s="54"/>
      <c r="F256" s="54"/>
      <c r="G256" s="54"/>
      <c r="H256" s="54"/>
      <c r="I256" s="32"/>
      <c r="J256" s="32"/>
      <c r="K256" s="32"/>
      <c r="L256" s="32"/>
    </row>
    <row r="257" spans="2:12" x14ac:dyDescent="0.25">
      <c r="B257" s="54"/>
      <c r="C257" s="54"/>
      <c r="D257" s="54"/>
      <c r="E257" s="54"/>
      <c r="F257" s="54"/>
      <c r="G257" s="54"/>
      <c r="H257" s="54"/>
      <c r="I257" s="32"/>
      <c r="J257" s="32"/>
      <c r="K257" s="32"/>
      <c r="L257" s="32"/>
    </row>
    <row r="258" spans="2:12" x14ac:dyDescent="0.25">
      <c r="B258" s="54"/>
      <c r="C258" s="54"/>
      <c r="D258" s="54"/>
      <c r="E258" s="54"/>
      <c r="F258" s="54"/>
      <c r="G258" s="54"/>
      <c r="H258" s="54"/>
      <c r="I258" s="32"/>
      <c r="J258" s="32"/>
      <c r="K258" s="32"/>
      <c r="L258" s="32"/>
    </row>
    <row r="259" spans="2:12" x14ac:dyDescent="0.25"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</row>
    <row r="260" spans="2:12" x14ac:dyDescent="0.25"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</row>
    <row r="261" spans="2:12" x14ac:dyDescent="0.25">
      <c r="B261" s="32"/>
      <c r="C261" s="55"/>
      <c r="D261" s="53"/>
      <c r="E261" s="32"/>
      <c r="F261" s="32"/>
      <c r="G261" s="32"/>
      <c r="H261" s="32"/>
      <c r="I261" s="32"/>
      <c r="J261" s="32"/>
      <c r="K261" s="32"/>
      <c r="L261" s="32"/>
    </row>
    <row r="262" spans="2:12" x14ac:dyDescent="0.25">
      <c r="B262" s="54"/>
      <c r="C262" s="54"/>
      <c r="D262" s="54"/>
      <c r="E262" s="54"/>
      <c r="F262" s="54"/>
      <c r="G262" s="54"/>
      <c r="H262" s="54"/>
      <c r="I262" s="32"/>
      <c r="J262" s="32"/>
      <c r="K262" s="32"/>
      <c r="L262" s="32"/>
    </row>
    <row r="263" spans="2:12" x14ac:dyDescent="0.25">
      <c r="B263" s="54"/>
      <c r="C263" s="54"/>
      <c r="D263" s="54"/>
      <c r="E263" s="54"/>
      <c r="F263" s="54"/>
      <c r="G263" s="54"/>
      <c r="H263" s="54"/>
      <c r="I263" s="32"/>
      <c r="J263" s="32"/>
      <c r="K263" s="32"/>
      <c r="L263" s="32"/>
    </row>
    <row r="264" spans="2:12" x14ac:dyDescent="0.25">
      <c r="B264" s="54"/>
      <c r="C264" s="54"/>
      <c r="D264" s="54"/>
      <c r="E264" s="54"/>
      <c r="F264" s="54"/>
      <c r="G264" s="54"/>
      <c r="H264" s="54"/>
      <c r="I264" s="32"/>
      <c r="J264" s="32"/>
      <c r="K264" s="32"/>
      <c r="L264" s="32"/>
    </row>
    <row r="265" spans="2:12" x14ac:dyDescent="0.25">
      <c r="B265" s="54"/>
      <c r="C265" s="54"/>
      <c r="D265" s="54"/>
      <c r="E265" s="54"/>
      <c r="F265" s="54"/>
      <c r="G265" s="54"/>
      <c r="H265" s="54"/>
      <c r="I265" s="32"/>
      <c r="J265" s="32"/>
      <c r="K265" s="32"/>
      <c r="L265" s="32"/>
    </row>
    <row r="266" spans="2:12" x14ac:dyDescent="0.25">
      <c r="B266" s="54"/>
      <c r="C266" s="54"/>
      <c r="D266" s="54"/>
      <c r="E266" s="54"/>
      <c r="F266" s="54"/>
      <c r="G266" s="54"/>
      <c r="H266" s="54"/>
      <c r="I266" s="32"/>
      <c r="J266" s="32"/>
      <c r="K266" s="32"/>
      <c r="L266" s="32"/>
    </row>
    <row r="267" spans="2:12" x14ac:dyDescent="0.25">
      <c r="B267" s="54"/>
      <c r="C267" s="54"/>
      <c r="D267" s="54"/>
      <c r="E267" s="54"/>
      <c r="F267" s="54"/>
      <c r="G267" s="54"/>
      <c r="H267" s="54"/>
      <c r="I267" s="32"/>
      <c r="J267" s="32"/>
      <c r="K267" s="32"/>
      <c r="L267" s="32"/>
    </row>
    <row r="268" spans="2:12" x14ac:dyDescent="0.25">
      <c r="B268" s="54"/>
      <c r="C268" s="54"/>
      <c r="D268" s="54"/>
      <c r="E268" s="54"/>
      <c r="F268" s="54"/>
      <c r="G268" s="54"/>
      <c r="H268" s="54"/>
      <c r="I268" s="32"/>
      <c r="J268" s="32"/>
      <c r="K268" s="32"/>
      <c r="L268" s="32"/>
    </row>
    <row r="269" spans="2:12" x14ac:dyDescent="0.25">
      <c r="B269" s="54"/>
      <c r="C269" s="54"/>
      <c r="D269" s="54"/>
      <c r="E269" s="54"/>
      <c r="F269" s="54"/>
      <c r="G269" s="54"/>
      <c r="H269" s="54"/>
      <c r="I269" s="32"/>
      <c r="J269" s="32"/>
      <c r="K269" s="32"/>
      <c r="L269" s="32"/>
    </row>
    <row r="270" spans="2:12" x14ac:dyDescent="0.25">
      <c r="B270" s="54"/>
      <c r="C270" s="54"/>
      <c r="D270" s="54"/>
      <c r="E270" s="54"/>
      <c r="F270" s="54"/>
      <c r="G270" s="54"/>
      <c r="H270" s="54"/>
      <c r="I270" s="32"/>
      <c r="J270" s="32"/>
      <c r="K270" s="32"/>
      <c r="L270" s="32"/>
    </row>
    <row r="271" spans="2:12" x14ac:dyDescent="0.25">
      <c r="B271" s="54"/>
      <c r="C271" s="54"/>
      <c r="D271" s="54"/>
      <c r="E271" s="54"/>
      <c r="F271" s="54"/>
      <c r="G271" s="54"/>
      <c r="H271" s="54"/>
      <c r="I271" s="32"/>
      <c r="J271" s="32"/>
      <c r="K271" s="32"/>
      <c r="L271" s="32"/>
    </row>
    <row r="272" spans="2:12" x14ac:dyDescent="0.25">
      <c r="B272" s="54"/>
      <c r="C272" s="54"/>
      <c r="D272" s="54"/>
      <c r="E272" s="54"/>
      <c r="F272" s="54"/>
      <c r="G272" s="54"/>
      <c r="H272" s="54"/>
      <c r="I272" s="32"/>
      <c r="J272" s="32"/>
      <c r="K272" s="32"/>
      <c r="L272" s="32"/>
    </row>
    <row r="273" spans="2:12" x14ac:dyDescent="0.25">
      <c r="B273" s="54"/>
      <c r="C273" s="54"/>
      <c r="D273" s="54"/>
      <c r="E273" s="54"/>
      <c r="F273" s="54"/>
      <c r="G273" s="54"/>
      <c r="H273" s="54"/>
      <c r="I273" s="32"/>
      <c r="J273" s="32"/>
      <c r="K273" s="32"/>
      <c r="L273" s="32"/>
    </row>
    <row r="274" spans="2:12" x14ac:dyDescent="0.25"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</row>
    <row r="275" spans="2:12" x14ac:dyDescent="0.25"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</row>
    <row r="276" spans="2:12" x14ac:dyDescent="0.25">
      <c r="B276" s="84"/>
      <c r="C276" s="85"/>
      <c r="D276" s="32"/>
      <c r="E276" s="32"/>
      <c r="F276" s="32"/>
      <c r="G276" s="32"/>
      <c r="H276" s="32"/>
      <c r="I276" s="32"/>
      <c r="J276" s="32"/>
      <c r="K276" s="32"/>
      <c r="L276" s="32"/>
    </row>
    <row r="277" spans="2:12" x14ac:dyDescent="0.25">
      <c r="B277" s="54"/>
      <c r="C277" s="54"/>
      <c r="D277" s="54"/>
      <c r="E277" s="54"/>
      <c r="F277" s="54"/>
      <c r="G277" s="54"/>
      <c r="H277" s="54"/>
      <c r="I277" s="32"/>
      <c r="J277" s="32"/>
      <c r="K277" s="32"/>
      <c r="L277" s="32"/>
    </row>
    <row r="278" spans="2:12" x14ac:dyDescent="0.25">
      <c r="B278" s="54"/>
      <c r="C278" s="54"/>
      <c r="D278" s="54"/>
      <c r="E278" s="54"/>
      <c r="F278" s="54"/>
      <c r="G278" s="54"/>
      <c r="H278" s="54"/>
      <c r="I278" s="32"/>
      <c r="J278" s="32"/>
      <c r="K278" s="32"/>
      <c r="L278" s="32"/>
    </row>
    <row r="279" spans="2:12" x14ac:dyDescent="0.25">
      <c r="B279" s="54"/>
      <c r="C279" s="54"/>
      <c r="D279" s="54"/>
      <c r="E279" s="54"/>
      <c r="F279" s="54"/>
      <c r="G279" s="54"/>
      <c r="H279" s="54"/>
      <c r="I279" s="32"/>
      <c r="J279" s="32"/>
      <c r="K279" s="32"/>
      <c r="L279" s="32"/>
    </row>
    <row r="280" spans="2:12" x14ac:dyDescent="0.25">
      <c r="B280" s="54"/>
      <c r="C280" s="54"/>
      <c r="D280" s="54"/>
      <c r="E280" s="54"/>
      <c r="F280" s="54"/>
      <c r="G280" s="54"/>
      <c r="H280" s="54"/>
      <c r="I280" s="32"/>
      <c r="J280" s="32"/>
      <c r="K280" s="32"/>
      <c r="L280" s="32"/>
    </row>
    <row r="281" spans="2:12" x14ac:dyDescent="0.25">
      <c r="B281" s="54"/>
      <c r="C281" s="54"/>
      <c r="D281" s="54"/>
      <c r="E281" s="54"/>
      <c r="F281" s="54"/>
      <c r="G281" s="54"/>
      <c r="H281" s="54"/>
      <c r="I281" s="32"/>
      <c r="J281" s="32"/>
      <c r="K281" s="32"/>
      <c r="L281" s="32"/>
    </row>
    <row r="282" spans="2:12" x14ac:dyDescent="0.25">
      <c r="B282" s="54"/>
      <c r="C282" s="54"/>
      <c r="D282" s="54"/>
      <c r="E282" s="54"/>
      <c r="F282" s="54"/>
      <c r="G282" s="54"/>
      <c r="H282" s="54"/>
      <c r="I282" s="32"/>
      <c r="J282" s="32"/>
      <c r="K282" s="32"/>
      <c r="L282" s="32"/>
    </row>
    <row r="283" spans="2:12" x14ac:dyDescent="0.25">
      <c r="B283" s="54"/>
      <c r="C283" s="54"/>
      <c r="D283" s="54"/>
      <c r="E283" s="54"/>
      <c r="F283" s="54"/>
      <c r="G283" s="54"/>
      <c r="H283" s="54"/>
      <c r="I283" s="32"/>
      <c r="J283" s="32"/>
      <c r="K283" s="32"/>
      <c r="L283" s="32"/>
    </row>
    <row r="284" spans="2:12" x14ac:dyDescent="0.25">
      <c r="B284" s="54"/>
      <c r="C284" s="54"/>
      <c r="D284" s="54"/>
      <c r="E284" s="54"/>
      <c r="F284" s="54"/>
      <c r="G284" s="54"/>
      <c r="H284" s="54"/>
      <c r="I284" s="32"/>
      <c r="J284" s="32"/>
      <c r="K284" s="32"/>
      <c r="L284" s="32"/>
    </row>
    <row r="285" spans="2:12" x14ac:dyDescent="0.25">
      <c r="B285" s="54"/>
      <c r="C285" s="54"/>
      <c r="D285" s="54"/>
      <c r="E285" s="54"/>
      <c r="F285" s="54"/>
      <c r="G285" s="54"/>
      <c r="H285" s="54"/>
      <c r="I285" s="32"/>
      <c r="J285" s="32"/>
      <c r="K285" s="32"/>
      <c r="L285" s="32"/>
    </row>
    <row r="286" spans="2:12" x14ac:dyDescent="0.25">
      <c r="B286" s="54"/>
      <c r="C286" s="54"/>
      <c r="D286" s="54"/>
      <c r="E286" s="54"/>
      <c r="F286" s="54"/>
      <c r="G286" s="54"/>
      <c r="H286" s="54"/>
      <c r="I286" s="32"/>
      <c r="J286" s="32"/>
      <c r="K286" s="32"/>
      <c r="L286" s="32"/>
    </row>
    <row r="287" spans="2:12" x14ac:dyDescent="0.25">
      <c r="B287" s="54"/>
      <c r="C287" s="54"/>
      <c r="D287" s="54"/>
      <c r="E287" s="54"/>
      <c r="F287" s="54"/>
      <c r="G287" s="54"/>
      <c r="H287" s="54"/>
      <c r="I287" s="32"/>
      <c r="J287" s="32"/>
      <c r="K287" s="32"/>
      <c r="L287" s="32"/>
    </row>
    <row r="288" spans="2:12" x14ac:dyDescent="0.25">
      <c r="B288" s="54"/>
      <c r="C288" s="54"/>
      <c r="D288" s="54"/>
      <c r="E288" s="54"/>
      <c r="F288" s="54"/>
      <c r="G288" s="54"/>
      <c r="H288" s="54"/>
      <c r="I288" s="32"/>
      <c r="J288" s="32"/>
      <c r="K288" s="32"/>
      <c r="L288" s="32"/>
    </row>
    <row r="289" spans="2:12" x14ac:dyDescent="0.25">
      <c r="B289" s="54"/>
      <c r="C289" s="54"/>
      <c r="D289" s="54"/>
      <c r="E289" s="54"/>
      <c r="F289" s="54"/>
      <c r="G289" s="54"/>
      <c r="H289" s="54"/>
      <c r="I289" s="32"/>
      <c r="J289" s="32"/>
      <c r="K289" s="32"/>
      <c r="L289" s="32"/>
    </row>
    <row r="290" spans="2:12" x14ac:dyDescent="0.25"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</row>
    <row r="291" spans="2:12" x14ac:dyDescent="0.25"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</row>
    <row r="292" spans="2:12" x14ac:dyDescent="0.25">
      <c r="B292" s="84"/>
      <c r="C292" s="85"/>
      <c r="D292" s="32"/>
      <c r="E292" s="32"/>
      <c r="F292" s="32"/>
      <c r="G292" s="32"/>
      <c r="H292" s="32"/>
      <c r="I292" s="32"/>
      <c r="J292" s="32"/>
      <c r="K292" s="32"/>
      <c r="L292" s="32"/>
    </row>
    <row r="293" spans="2:12" x14ac:dyDescent="0.25">
      <c r="B293" s="54"/>
      <c r="C293" s="54"/>
      <c r="D293" s="54"/>
      <c r="E293" s="54"/>
      <c r="F293" s="54"/>
      <c r="G293" s="54"/>
      <c r="H293" s="54"/>
      <c r="I293" s="32"/>
      <c r="J293" s="32"/>
      <c r="K293" s="32"/>
      <c r="L293" s="32"/>
    </row>
    <row r="294" spans="2:12" x14ac:dyDescent="0.25">
      <c r="B294" s="54"/>
      <c r="C294" s="54"/>
      <c r="D294" s="54"/>
      <c r="E294" s="54"/>
      <c r="F294" s="54"/>
      <c r="G294" s="54"/>
      <c r="H294" s="54"/>
      <c r="I294" s="32"/>
      <c r="J294" s="32"/>
      <c r="K294" s="32"/>
      <c r="L294" s="32"/>
    </row>
    <row r="295" spans="2:12" x14ac:dyDescent="0.25">
      <c r="B295" s="54"/>
      <c r="C295" s="54"/>
      <c r="D295" s="54"/>
      <c r="E295" s="54"/>
      <c r="F295" s="54"/>
      <c r="G295" s="54"/>
      <c r="H295" s="54"/>
      <c r="I295" s="32"/>
      <c r="J295" s="32"/>
      <c r="K295" s="32"/>
      <c r="L295" s="32"/>
    </row>
    <row r="296" spans="2:12" x14ac:dyDescent="0.25">
      <c r="B296" s="54"/>
      <c r="C296" s="54"/>
      <c r="D296" s="54"/>
      <c r="E296" s="54"/>
      <c r="F296" s="54"/>
      <c r="G296" s="54"/>
      <c r="H296" s="54"/>
      <c r="I296" s="32"/>
      <c r="J296" s="32"/>
      <c r="K296" s="32"/>
      <c r="L296" s="32"/>
    </row>
    <row r="297" spans="2:12" x14ac:dyDescent="0.25">
      <c r="B297" s="54"/>
      <c r="C297" s="54"/>
      <c r="D297" s="54"/>
      <c r="E297" s="54"/>
      <c r="F297" s="54"/>
      <c r="G297" s="54"/>
      <c r="H297" s="54"/>
      <c r="I297" s="32"/>
      <c r="J297" s="32"/>
      <c r="K297" s="32"/>
      <c r="L297" s="32"/>
    </row>
    <row r="298" spans="2:12" x14ac:dyDescent="0.25">
      <c r="B298" s="54"/>
      <c r="C298" s="54"/>
      <c r="D298" s="54"/>
      <c r="E298" s="54"/>
      <c r="F298" s="54"/>
      <c r="G298" s="54"/>
      <c r="H298" s="54"/>
      <c r="I298" s="32"/>
      <c r="J298" s="32"/>
      <c r="K298" s="32"/>
      <c r="L298" s="32"/>
    </row>
    <row r="299" spans="2:12" x14ac:dyDescent="0.25">
      <c r="B299" s="54"/>
      <c r="C299" s="54"/>
      <c r="D299" s="54"/>
      <c r="E299" s="54"/>
      <c r="F299" s="54"/>
      <c r="G299" s="54"/>
      <c r="H299" s="54"/>
      <c r="I299" s="32"/>
      <c r="J299" s="32"/>
      <c r="K299" s="32"/>
      <c r="L299" s="32"/>
    </row>
    <row r="300" spans="2:12" x14ac:dyDescent="0.25">
      <c r="B300" s="54"/>
      <c r="C300" s="54"/>
      <c r="D300" s="54"/>
      <c r="E300" s="54"/>
      <c r="F300" s="54"/>
      <c r="G300" s="54"/>
      <c r="H300" s="54"/>
      <c r="I300" s="32"/>
      <c r="J300" s="32"/>
      <c r="K300" s="32"/>
      <c r="L300" s="32"/>
    </row>
    <row r="301" spans="2:12" x14ac:dyDescent="0.25">
      <c r="B301" s="54"/>
      <c r="C301" s="54"/>
      <c r="D301" s="54"/>
      <c r="E301" s="54"/>
      <c r="F301" s="54"/>
      <c r="G301" s="54"/>
      <c r="H301" s="54"/>
      <c r="I301" s="32"/>
      <c r="J301" s="32"/>
      <c r="K301" s="32"/>
      <c r="L301" s="32"/>
    </row>
    <row r="302" spans="2:12" x14ac:dyDescent="0.25">
      <c r="B302" s="54"/>
      <c r="C302" s="54"/>
      <c r="D302" s="54"/>
      <c r="E302" s="54"/>
      <c r="F302" s="54"/>
      <c r="G302" s="54"/>
      <c r="H302" s="54"/>
      <c r="I302" s="32"/>
      <c r="J302" s="32"/>
      <c r="K302" s="32"/>
      <c r="L302" s="32"/>
    </row>
    <row r="303" spans="2:12" x14ac:dyDescent="0.25">
      <c r="B303" s="54"/>
      <c r="C303" s="54"/>
      <c r="D303" s="54"/>
      <c r="E303" s="54"/>
      <c r="F303" s="54"/>
      <c r="G303" s="54"/>
      <c r="H303" s="54"/>
      <c r="I303" s="32"/>
      <c r="J303" s="32"/>
      <c r="K303" s="32"/>
      <c r="L303" s="32"/>
    </row>
    <row r="304" spans="2:12" x14ac:dyDescent="0.25">
      <c r="B304" s="54"/>
      <c r="C304" s="54"/>
      <c r="D304" s="54"/>
      <c r="E304" s="54"/>
      <c r="F304" s="54"/>
      <c r="G304" s="54"/>
      <c r="H304" s="54"/>
      <c r="I304" s="32"/>
      <c r="J304" s="32"/>
      <c r="K304" s="32"/>
      <c r="L304" s="32"/>
    </row>
    <row r="305" spans="2:12" x14ac:dyDescent="0.25">
      <c r="B305" s="54"/>
      <c r="C305" s="54"/>
      <c r="D305" s="54"/>
      <c r="E305" s="54"/>
      <c r="F305" s="54"/>
      <c r="G305" s="54"/>
      <c r="H305" s="54"/>
      <c r="I305" s="32"/>
      <c r="J305" s="32"/>
      <c r="K305" s="32"/>
      <c r="L305" s="32"/>
    </row>
    <row r="306" spans="2:12" x14ac:dyDescent="0.25"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</row>
    <row r="307" spans="2:12" x14ac:dyDescent="0.25"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</row>
    <row r="308" spans="2:12" x14ac:dyDescent="0.25">
      <c r="B308" s="32"/>
      <c r="C308" s="55"/>
      <c r="D308" s="53"/>
      <c r="E308" s="32"/>
      <c r="F308" s="32"/>
      <c r="G308" s="32"/>
      <c r="H308" s="32"/>
      <c r="I308" s="32"/>
      <c r="J308" s="32"/>
      <c r="K308" s="32"/>
      <c r="L308" s="32"/>
    </row>
    <row r="309" spans="2:12" x14ac:dyDescent="0.25">
      <c r="B309" s="54"/>
      <c r="C309" s="54"/>
      <c r="D309" s="54"/>
      <c r="E309" s="54"/>
      <c r="F309" s="54"/>
      <c r="G309" s="54"/>
      <c r="H309" s="54"/>
      <c r="I309" s="32"/>
      <c r="J309" s="32"/>
      <c r="K309" s="32"/>
      <c r="L309" s="32"/>
    </row>
    <row r="310" spans="2:12" x14ac:dyDescent="0.25">
      <c r="B310" s="54"/>
      <c r="C310" s="54"/>
      <c r="D310" s="54"/>
      <c r="E310" s="54"/>
      <c r="F310" s="54"/>
      <c r="G310" s="54"/>
      <c r="H310" s="54"/>
      <c r="I310" s="32"/>
      <c r="J310" s="32"/>
      <c r="K310" s="32"/>
      <c r="L310" s="32"/>
    </row>
    <row r="311" spans="2:12" x14ac:dyDescent="0.25">
      <c r="B311" s="54"/>
      <c r="C311" s="54"/>
      <c r="D311" s="54"/>
      <c r="E311" s="54"/>
      <c r="F311" s="54"/>
      <c r="G311" s="54"/>
      <c r="H311" s="54"/>
      <c r="I311" s="32"/>
      <c r="J311" s="32"/>
      <c r="K311" s="32"/>
      <c r="L311" s="32"/>
    </row>
    <row r="312" spans="2:12" x14ac:dyDescent="0.25">
      <c r="B312" s="54"/>
      <c r="C312" s="54"/>
      <c r="D312" s="54"/>
      <c r="E312" s="54"/>
      <c r="F312" s="54"/>
      <c r="G312" s="54"/>
      <c r="H312" s="54"/>
      <c r="I312" s="32"/>
      <c r="J312" s="32"/>
      <c r="K312" s="32"/>
      <c r="L312" s="32"/>
    </row>
    <row r="313" spans="2:12" x14ac:dyDescent="0.25">
      <c r="B313" s="54"/>
      <c r="C313" s="54"/>
      <c r="D313" s="54"/>
      <c r="E313" s="54"/>
      <c r="F313" s="54"/>
      <c r="G313" s="54"/>
      <c r="H313" s="54"/>
      <c r="I313" s="32"/>
      <c r="J313" s="32"/>
      <c r="K313" s="32"/>
      <c r="L313" s="32"/>
    </row>
    <row r="314" spans="2:12" x14ac:dyDescent="0.25">
      <c r="B314" s="54"/>
      <c r="C314" s="54"/>
      <c r="D314" s="54"/>
      <c r="E314" s="54"/>
      <c r="F314" s="54"/>
      <c r="G314" s="54"/>
      <c r="H314" s="54"/>
      <c r="I314" s="32"/>
      <c r="J314" s="32"/>
      <c r="K314" s="32"/>
      <c r="L314" s="32"/>
    </row>
    <row r="315" spans="2:12" x14ac:dyDescent="0.25">
      <c r="B315" s="54"/>
      <c r="C315" s="54"/>
      <c r="D315" s="54"/>
      <c r="E315" s="54"/>
      <c r="F315" s="54"/>
      <c r="G315" s="54"/>
      <c r="H315" s="54"/>
      <c r="I315" s="32"/>
      <c r="J315" s="32"/>
      <c r="K315" s="32"/>
      <c r="L315" s="32"/>
    </row>
    <row r="316" spans="2:12" x14ac:dyDescent="0.25">
      <c r="B316" s="54"/>
      <c r="C316" s="54"/>
      <c r="D316" s="54"/>
      <c r="E316" s="54"/>
      <c r="F316" s="54"/>
      <c r="G316" s="54"/>
      <c r="H316" s="54"/>
      <c r="I316" s="32"/>
      <c r="J316" s="32"/>
      <c r="K316" s="32"/>
      <c r="L316" s="32"/>
    </row>
    <row r="317" spans="2:12" x14ac:dyDescent="0.25">
      <c r="B317" s="54"/>
      <c r="C317" s="54"/>
      <c r="D317" s="54"/>
      <c r="E317" s="54"/>
      <c r="F317" s="54"/>
      <c r="G317" s="54"/>
      <c r="H317" s="54"/>
      <c r="I317" s="32"/>
      <c r="J317" s="32"/>
      <c r="K317" s="32"/>
      <c r="L317" s="32"/>
    </row>
    <row r="318" spans="2:12" x14ac:dyDescent="0.25">
      <c r="B318" s="54"/>
      <c r="C318" s="54"/>
      <c r="D318" s="54"/>
      <c r="E318" s="54"/>
      <c r="F318" s="54"/>
      <c r="G318" s="54"/>
      <c r="H318" s="54"/>
      <c r="I318" s="32"/>
      <c r="J318" s="32"/>
      <c r="K318" s="32"/>
      <c r="L318" s="32"/>
    </row>
    <row r="319" spans="2:12" x14ac:dyDescent="0.25">
      <c r="B319" s="54"/>
      <c r="C319" s="54"/>
      <c r="D319" s="54"/>
      <c r="E319" s="54"/>
      <c r="F319" s="54"/>
      <c r="G319" s="54"/>
      <c r="H319" s="54"/>
      <c r="I319" s="32"/>
      <c r="J319" s="32"/>
      <c r="K319" s="32"/>
      <c r="L319" s="32"/>
    </row>
    <row r="320" spans="2:12" x14ac:dyDescent="0.25">
      <c r="B320" s="54"/>
      <c r="C320" s="54"/>
      <c r="D320" s="54"/>
      <c r="E320" s="54"/>
      <c r="F320" s="54"/>
      <c r="G320" s="54"/>
      <c r="H320" s="54"/>
      <c r="I320" s="32"/>
      <c r="J320" s="32"/>
      <c r="K320" s="32"/>
      <c r="L320" s="32"/>
    </row>
    <row r="321" spans="2:12" x14ac:dyDescent="0.25">
      <c r="B321" s="54"/>
      <c r="C321" s="54"/>
      <c r="D321" s="54"/>
      <c r="E321" s="54"/>
      <c r="F321" s="54"/>
      <c r="G321" s="54"/>
      <c r="H321" s="54"/>
      <c r="I321" s="32"/>
      <c r="J321" s="32"/>
      <c r="K321" s="32"/>
      <c r="L321" s="32"/>
    </row>
    <row r="322" spans="2:12" x14ac:dyDescent="0.25"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</row>
    <row r="323" spans="2:12" x14ac:dyDescent="0.25"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</row>
    <row r="324" spans="2:12" x14ac:dyDescent="0.25">
      <c r="B324" s="32"/>
      <c r="C324" s="55"/>
      <c r="D324" s="53"/>
      <c r="E324" s="32"/>
      <c r="F324" s="32"/>
      <c r="G324" s="32"/>
      <c r="H324" s="32"/>
      <c r="I324" s="32"/>
      <c r="J324" s="32"/>
      <c r="K324" s="32"/>
      <c r="L324" s="32"/>
    </row>
    <row r="325" spans="2:12" x14ac:dyDescent="0.25">
      <c r="B325" s="54"/>
      <c r="C325" s="54"/>
      <c r="D325" s="54"/>
      <c r="E325" s="54"/>
      <c r="F325" s="54"/>
      <c r="G325" s="54"/>
      <c r="H325" s="54"/>
      <c r="I325" s="32"/>
      <c r="J325" s="32"/>
      <c r="K325" s="32"/>
      <c r="L325" s="32"/>
    </row>
    <row r="326" spans="2:12" x14ac:dyDescent="0.25">
      <c r="B326" s="54"/>
      <c r="C326" s="54"/>
      <c r="D326" s="54"/>
      <c r="E326" s="54"/>
      <c r="F326" s="54"/>
      <c r="G326" s="54"/>
      <c r="H326" s="54"/>
      <c r="I326" s="32"/>
      <c r="J326" s="32"/>
      <c r="K326" s="32"/>
      <c r="L326" s="32"/>
    </row>
    <row r="327" spans="2:12" x14ac:dyDescent="0.25">
      <c r="B327" s="54"/>
      <c r="C327" s="54"/>
      <c r="D327" s="54"/>
      <c r="E327" s="54"/>
      <c r="F327" s="54"/>
      <c r="G327" s="54"/>
      <c r="H327" s="54"/>
      <c r="I327" s="32"/>
      <c r="J327" s="32"/>
      <c r="K327" s="32"/>
      <c r="L327" s="32"/>
    </row>
    <row r="328" spans="2:12" x14ac:dyDescent="0.25">
      <c r="B328" s="54"/>
      <c r="C328" s="54"/>
      <c r="D328" s="54"/>
      <c r="E328" s="54"/>
      <c r="F328" s="54"/>
      <c r="G328" s="54"/>
      <c r="H328" s="54"/>
      <c r="I328" s="32"/>
      <c r="J328" s="32"/>
      <c r="K328" s="32"/>
      <c r="L328" s="32"/>
    </row>
    <row r="329" spans="2:12" x14ac:dyDescent="0.25">
      <c r="B329" s="54"/>
      <c r="C329" s="54"/>
      <c r="D329" s="54"/>
      <c r="E329" s="54"/>
      <c r="F329" s="54"/>
      <c r="G329" s="54"/>
      <c r="H329" s="54"/>
      <c r="I329" s="32"/>
      <c r="J329" s="32"/>
      <c r="K329" s="32"/>
      <c r="L329" s="32"/>
    </row>
    <row r="330" spans="2:12" x14ac:dyDescent="0.25">
      <c r="B330" s="54"/>
      <c r="C330" s="54"/>
      <c r="D330" s="54"/>
      <c r="E330" s="54"/>
      <c r="F330" s="54"/>
      <c r="G330" s="54"/>
      <c r="H330" s="54"/>
      <c r="I330" s="32"/>
      <c r="J330" s="32"/>
      <c r="K330" s="32"/>
      <c r="L330" s="32"/>
    </row>
    <row r="331" spans="2:12" x14ac:dyDescent="0.25">
      <c r="B331" s="54"/>
      <c r="C331" s="54"/>
      <c r="D331" s="54"/>
      <c r="E331" s="54"/>
      <c r="F331" s="54"/>
      <c r="G331" s="54"/>
      <c r="H331" s="54"/>
      <c r="I331" s="32"/>
      <c r="J331" s="32"/>
      <c r="K331" s="32"/>
      <c r="L331" s="32"/>
    </row>
    <row r="332" spans="2:12" x14ac:dyDescent="0.25">
      <c r="B332" s="54"/>
      <c r="C332" s="54"/>
      <c r="D332" s="54"/>
      <c r="E332" s="54"/>
      <c r="F332" s="54"/>
      <c r="G332" s="54"/>
      <c r="H332" s="54"/>
      <c r="I332" s="32"/>
      <c r="J332" s="32"/>
      <c r="K332" s="32"/>
      <c r="L332" s="32"/>
    </row>
    <row r="333" spans="2:12" x14ac:dyDescent="0.25">
      <c r="B333" s="54"/>
      <c r="C333" s="54"/>
      <c r="D333" s="54"/>
      <c r="E333" s="54"/>
      <c r="F333" s="54"/>
      <c r="G333" s="54"/>
      <c r="H333" s="54"/>
      <c r="I333" s="32"/>
      <c r="J333" s="32"/>
      <c r="K333" s="32"/>
      <c r="L333" s="32"/>
    </row>
    <row r="334" spans="2:12" x14ac:dyDescent="0.25">
      <c r="B334" s="54"/>
      <c r="C334" s="54"/>
      <c r="D334" s="54"/>
      <c r="E334" s="54"/>
      <c r="F334" s="54"/>
      <c r="G334" s="54"/>
      <c r="H334" s="54"/>
      <c r="I334" s="32"/>
      <c r="J334" s="32"/>
      <c r="K334" s="32"/>
      <c r="L334" s="32"/>
    </row>
    <row r="335" spans="2:12" x14ac:dyDescent="0.25">
      <c r="B335" s="54"/>
      <c r="C335" s="54"/>
      <c r="D335" s="54"/>
      <c r="E335" s="54"/>
      <c r="F335" s="54"/>
      <c r="G335" s="54"/>
      <c r="H335" s="54"/>
      <c r="I335" s="32"/>
      <c r="J335" s="32"/>
      <c r="K335" s="32"/>
      <c r="L335" s="32"/>
    </row>
    <row r="336" spans="2:12" x14ac:dyDescent="0.25">
      <c r="B336" s="54"/>
      <c r="C336" s="54"/>
      <c r="D336" s="54"/>
      <c r="E336" s="54"/>
      <c r="F336" s="54"/>
      <c r="G336" s="54"/>
      <c r="H336" s="54"/>
      <c r="I336" s="32"/>
      <c r="J336" s="32"/>
      <c r="K336" s="32"/>
      <c r="L336" s="32"/>
    </row>
    <row r="337" spans="2:12" x14ac:dyDescent="0.25"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</row>
    <row r="338" spans="2:12" x14ac:dyDescent="0.25"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</row>
    <row r="339" spans="2:12" x14ac:dyDescent="0.25">
      <c r="B339" s="32"/>
      <c r="C339" s="55"/>
      <c r="D339" s="53"/>
      <c r="E339" s="32"/>
      <c r="F339" s="32"/>
      <c r="G339" s="32"/>
      <c r="H339" s="32"/>
      <c r="I339" s="32"/>
      <c r="J339" s="32"/>
      <c r="K339" s="32"/>
      <c r="L339" s="32"/>
    </row>
    <row r="340" spans="2:12" x14ac:dyDescent="0.25">
      <c r="B340" s="54"/>
      <c r="C340" s="54"/>
      <c r="D340" s="54"/>
      <c r="E340" s="54"/>
      <c r="F340" s="54"/>
      <c r="G340" s="54"/>
      <c r="H340" s="54"/>
      <c r="I340" s="32"/>
      <c r="J340" s="32"/>
      <c r="K340" s="32"/>
      <c r="L340" s="32"/>
    </row>
    <row r="341" spans="2:12" x14ac:dyDescent="0.25">
      <c r="B341" s="54"/>
      <c r="C341" s="54"/>
      <c r="D341" s="54"/>
      <c r="E341" s="54"/>
      <c r="F341" s="54"/>
      <c r="G341" s="54"/>
      <c r="H341" s="54"/>
      <c r="I341" s="32"/>
      <c r="J341" s="32"/>
      <c r="K341" s="32"/>
      <c r="L341" s="32"/>
    </row>
    <row r="342" spans="2:12" x14ac:dyDescent="0.25">
      <c r="B342" s="54"/>
      <c r="C342" s="54"/>
      <c r="D342" s="54"/>
      <c r="E342" s="54"/>
      <c r="F342" s="54"/>
      <c r="G342" s="54"/>
      <c r="H342" s="54"/>
      <c r="I342" s="32"/>
      <c r="J342" s="32"/>
      <c r="K342" s="32"/>
      <c r="L342" s="32"/>
    </row>
    <row r="343" spans="2:12" x14ac:dyDescent="0.25">
      <c r="B343" s="54"/>
      <c r="C343" s="54"/>
      <c r="D343" s="54"/>
      <c r="E343" s="54"/>
      <c r="F343" s="54"/>
      <c r="G343" s="54"/>
      <c r="H343" s="54"/>
      <c r="I343" s="32"/>
      <c r="J343" s="32"/>
      <c r="K343" s="32"/>
      <c r="L343" s="32"/>
    </row>
    <row r="344" spans="2:12" x14ac:dyDescent="0.25">
      <c r="B344" s="54"/>
      <c r="C344" s="54"/>
      <c r="D344" s="54"/>
      <c r="E344" s="54"/>
      <c r="F344" s="54"/>
      <c r="G344" s="54"/>
      <c r="H344" s="54"/>
      <c r="I344" s="32"/>
      <c r="J344" s="32"/>
      <c r="K344" s="32"/>
      <c r="L344" s="32"/>
    </row>
    <row r="345" spans="2:12" x14ac:dyDescent="0.25">
      <c r="B345" s="54"/>
      <c r="C345" s="54"/>
      <c r="D345" s="54"/>
      <c r="E345" s="54"/>
      <c r="F345" s="54"/>
      <c r="G345" s="54"/>
      <c r="H345" s="54"/>
      <c r="I345" s="32"/>
      <c r="J345" s="32"/>
      <c r="K345" s="32"/>
      <c r="L345" s="32"/>
    </row>
    <row r="346" spans="2:12" x14ac:dyDescent="0.25">
      <c r="B346" s="54"/>
      <c r="C346" s="54"/>
      <c r="D346" s="54"/>
      <c r="E346" s="54"/>
      <c r="F346" s="54"/>
      <c r="G346" s="54"/>
      <c r="H346" s="54"/>
      <c r="I346" s="32"/>
      <c r="J346" s="32"/>
      <c r="K346" s="32"/>
      <c r="L346" s="32"/>
    </row>
    <row r="347" spans="2:12" x14ac:dyDescent="0.25">
      <c r="B347" s="54"/>
      <c r="C347" s="54"/>
      <c r="D347" s="54"/>
      <c r="E347" s="54"/>
      <c r="F347" s="54"/>
      <c r="G347" s="54"/>
      <c r="H347" s="54"/>
      <c r="I347" s="32"/>
      <c r="J347" s="32"/>
      <c r="K347" s="32"/>
      <c r="L347" s="32"/>
    </row>
    <row r="348" spans="2:12" x14ac:dyDescent="0.25">
      <c r="B348" s="54"/>
      <c r="C348" s="54"/>
      <c r="D348" s="54"/>
      <c r="E348" s="54"/>
      <c r="F348" s="54"/>
      <c r="G348" s="54"/>
      <c r="H348" s="54"/>
      <c r="I348" s="32"/>
      <c r="J348" s="32"/>
      <c r="K348" s="32"/>
      <c r="L348" s="32"/>
    </row>
    <row r="349" spans="2:12" x14ac:dyDescent="0.25">
      <c r="B349" s="54"/>
      <c r="C349" s="54"/>
      <c r="D349" s="54"/>
      <c r="E349" s="54"/>
      <c r="F349" s="54"/>
      <c r="G349" s="54"/>
      <c r="H349" s="54"/>
      <c r="I349" s="32"/>
      <c r="J349" s="32"/>
      <c r="K349" s="32"/>
      <c r="L349" s="32"/>
    </row>
    <row r="350" spans="2:12" x14ac:dyDescent="0.25">
      <c r="B350" s="54"/>
      <c r="C350" s="54"/>
      <c r="D350" s="54"/>
      <c r="E350" s="54"/>
      <c r="F350" s="54"/>
      <c r="G350" s="54"/>
      <c r="H350" s="54"/>
      <c r="I350" s="32"/>
      <c r="J350" s="32"/>
      <c r="K350" s="32"/>
      <c r="L350" s="32"/>
    </row>
    <row r="351" spans="2:12" x14ac:dyDescent="0.25">
      <c r="B351" s="54"/>
      <c r="C351" s="54"/>
      <c r="D351" s="54"/>
      <c r="E351" s="54"/>
      <c r="F351" s="54"/>
      <c r="G351" s="54"/>
      <c r="H351" s="54"/>
      <c r="I351" s="32"/>
      <c r="J351" s="32"/>
      <c r="K351" s="32"/>
      <c r="L351" s="32"/>
    </row>
    <row r="352" spans="2:12" x14ac:dyDescent="0.25"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</row>
    <row r="353" spans="2:12" x14ac:dyDescent="0.25"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</row>
    <row r="354" spans="2:12" x14ac:dyDescent="0.25">
      <c r="B354" s="32"/>
      <c r="C354" s="55"/>
      <c r="D354" s="53"/>
      <c r="E354" s="32"/>
      <c r="F354" s="32"/>
      <c r="G354" s="32"/>
      <c r="H354" s="32"/>
      <c r="I354" s="32"/>
      <c r="J354" s="32"/>
      <c r="K354" s="32"/>
      <c r="L354" s="32"/>
    </row>
    <row r="355" spans="2:12" x14ac:dyDescent="0.25">
      <c r="B355" s="54"/>
      <c r="C355" s="54"/>
      <c r="D355" s="54"/>
      <c r="E355" s="54"/>
      <c r="F355" s="54"/>
      <c r="G355" s="54"/>
      <c r="H355" s="54"/>
      <c r="I355" s="32"/>
      <c r="J355" s="32"/>
      <c r="K355" s="32"/>
      <c r="L355" s="32"/>
    </row>
    <row r="356" spans="2:12" x14ac:dyDescent="0.25">
      <c r="B356" s="54"/>
      <c r="C356" s="54"/>
      <c r="D356" s="54"/>
      <c r="E356" s="54"/>
      <c r="F356" s="54"/>
      <c r="G356" s="54"/>
      <c r="H356" s="54"/>
      <c r="I356" s="32"/>
      <c r="J356" s="32"/>
      <c r="K356" s="32"/>
      <c r="L356" s="32"/>
    </row>
    <row r="357" spans="2:12" x14ac:dyDescent="0.25">
      <c r="B357" s="54"/>
      <c r="C357" s="54"/>
      <c r="D357" s="54"/>
      <c r="E357" s="54"/>
      <c r="F357" s="54"/>
      <c r="G357" s="54"/>
      <c r="H357" s="54"/>
      <c r="I357" s="32"/>
      <c r="J357" s="32"/>
      <c r="K357" s="32"/>
      <c r="L357" s="32"/>
    </row>
    <row r="358" spans="2:12" x14ac:dyDescent="0.25">
      <c r="B358" s="54"/>
      <c r="C358" s="54"/>
      <c r="D358" s="54"/>
      <c r="E358" s="54"/>
      <c r="F358" s="54"/>
      <c r="G358" s="54"/>
      <c r="H358" s="54"/>
      <c r="I358" s="32"/>
      <c r="J358" s="32"/>
      <c r="K358" s="32"/>
      <c r="L358" s="32"/>
    </row>
    <row r="359" spans="2:12" x14ac:dyDescent="0.25">
      <c r="B359" s="54"/>
      <c r="C359" s="54"/>
      <c r="D359" s="54"/>
      <c r="E359" s="54"/>
      <c r="F359" s="54"/>
      <c r="G359" s="54"/>
      <c r="H359" s="54"/>
      <c r="I359" s="32"/>
      <c r="J359" s="32"/>
      <c r="K359" s="32"/>
      <c r="L359" s="32"/>
    </row>
    <row r="360" spans="2:12" x14ac:dyDescent="0.25">
      <c r="B360" s="54"/>
      <c r="C360" s="54"/>
      <c r="D360" s="54"/>
      <c r="E360" s="54"/>
      <c r="F360" s="54"/>
      <c r="G360" s="54"/>
      <c r="H360" s="54"/>
      <c r="I360" s="32"/>
      <c r="J360" s="32"/>
      <c r="K360" s="32"/>
      <c r="L360" s="32"/>
    </row>
    <row r="361" spans="2:12" x14ac:dyDescent="0.25">
      <c r="B361" s="54"/>
      <c r="C361" s="54"/>
      <c r="D361" s="54"/>
      <c r="E361" s="54"/>
      <c r="F361" s="54"/>
      <c r="G361" s="54"/>
      <c r="H361" s="54"/>
      <c r="I361" s="32"/>
      <c r="J361" s="32"/>
      <c r="K361" s="32"/>
      <c r="L361" s="32"/>
    </row>
    <row r="362" spans="2:12" x14ac:dyDescent="0.25">
      <c r="B362" s="54"/>
      <c r="C362" s="54"/>
      <c r="D362" s="54"/>
      <c r="E362" s="54"/>
      <c r="F362" s="54"/>
      <c r="G362" s="54"/>
      <c r="H362" s="54"/>
      <c r="I362" s="32"/>
      <c r="J362" s="32"/>
      <c r="K362" s="32"/>
      <c r="L362" s="32"/>
    </row>
    <row r="363" spans="2:12" x14ac:dyDescent="0.25">
      <c r="B363" s="54"/>
      <c r="C363" s="54"/>
      <c r="D363" s="54"/>
      <c r="E363" s="54"/>
      <c r="F363" s="54"/>
      <c r="G363" s="54"/>
      <c r="H363" s="54"/>
      <c r="I363" s="32"/>
      <c r="J363" s="32"/>
      <c r="K363" s="32"/>
      <c r="L363" s="32"/>
    </row>
    <row r="364" spans="2:12" x14ac:dyDescent="0.25">
      <c r="B364" s="54"/>
      <c r="C364" s="54"/>
      <c r="D364" s="54"/>
      <c r="E364" s="54"/>
      <c r="F364" s="54"/>
      <c r="G364" s="54"/>
      <c r="H364" s="54"/>
      <c r="I364" s="32"/>
      <c r="J364" s="32"/>
      <c r="K364" s="32"/>
      <c r="L364" s="32"/>
    </row>
    <row r="365" spans="2:12" x14ac:dyDescent="0.25">
      <c r="B365" s="54"/>
      <c r="C365" s="54"/>
      <c r="D365" s="54"/>
      <c r="E365" s="54"/>
      <c r="F365" s="54"/>
      <c r="G365" s="54"/>
      <c r="H365" s="54"/>
      <c r="I365" s="32"/>
      <c r="J365" s="32"/>
      <c r="K365" s="32"/>
      <c r="L365" s="32"/>
    </row>
    <row r="366" spans="2:12" x14ac:dyDescent="0.25">
      <c r="B366" s="54"/>
      <c r="C366" s="54"/>
      <c r="D366" s="54"/>
      <c r="E366" s="54"/>
      <c r="F366" s="54"/>
      <c r="G366" s="54"/>
      <c r="H366" s="54"/>
      <c r="I366" s="32"/>
      <c r="J366" s="32"/>
      <c r="K366" s="32"/>
      <c r="L366" s="32"/>
    </row>
    <row r="367" spans="2:12" x14ac:dyDescent="0.25">
      <c r="B367" s="54"/>
      <c r="C367" s="54"/>
      <c r="D367" s="54"/>
      <c r="E367" s="54"/>
      <c r="F367" s="54"/>
      <c r="G367" s="54"/>
      <c r="H367" s="54"/>
      <c r="I367" s="32"/>
      <c r="J367" s="32"/>
      <c r="K367" s="32"/>
      <c r="L367" s="32"/>
    </row>
    <row r="368" spans="2:12" x14ac:dyDescent="0.25"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</row>
    <row r="369" spans="2:12" x14ac:dyDescent="0.25"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</row>
    <row r="370" spans="2:12" x14ac:dyDescent="0.25">
      <c r="B370" s="32"/>
      <c r="C370" s="55"/>
      <c r="D370" s="53"/>
      <c r="E370" s="32"/>
      <c r="F370" s="32"/>
      <c r="G370" s="32"/>
      <c r="H370" s="32"/>
      <c r="I370" s="32"/>
      <c r="J370" s="32"/>
      <c r="K370" s="32"/>
      <c r="L370" s="32"/>
    </row>
    <row r="371" spans="2:12" x14ac:dyDescent="0.25">
      <c r="B371" s="54"/>
      <c r="C371" s="54"/>
      <c r="D371" s="54"/>
      <c r="E371" s="54"/>
      <c r="F371" s="54"/>
      <c r="G371" s="54"/>
      <c r="H371" s="54"/>
      <c r="I371" s="32"/>
      <c r="J371" s="32"/>
      <c r="K371" s="32"/>
      <c r="L371" s="32"/>
    </row>
    <row r="372" spans="2:12" x14ac:dyDescent="0.25">
      <c r="B372" s="54"/>
      <c r="C372" s="54"/>
      <c r="D372" s="54"/>
      <c r="E372" s="54"/>
      <c r="F372" s="54"/>
      <c r="G372" s="54"/>
      <c r="H372" s="54"/>
      <c r="I372" s="32"/>
      <c r="J372" s="32"/>
      <c r="K372" s="32"/>
      <c r="L372" s="32"/>
    </row>
    <row r="373" spans="2:12" x14ac:dyDescent="0.25">
      <c r="B373" s="54"/>
      <c r="C373" s="54"/>
      <c r="D373" s="54"/>
      <c r="E373" s="54"/>
      <c r="F373" s="54"/>
      <c r="G373" s="54"/>
      <c r="H373" s="54"/>
      <c r="I373" s="32"/>
      <c r="J373" s="32"/>
      <c r="K373" s="32"/>
      <c r="L373" s="32"/>
    </row>
    <row r="374" spans="2:12" x14ac:dyDescent="0.25">
      <c r="B374" s="54"/>
      <c r="C374" s="54"/>
      <c r="D374" s="54"/>
      <c r="E374" s="54"/>
      <c r="F374" s="54"/>
      <c r="G374" s="54"/>
      <c r="H374" s="54"/>
      <c r="I374" s="32"/>
      <c r="J374" s="32"/>
      <c r="K374" s="32"/>
      <c r="L374" s="32"/>
    </row>
    <row r="375" spans="2:12" x14ac:dyDescent="0.25">
      <c r="B375" s="54"/>
      <c r="C375" s="54"/>
      <c r="D375" s="54"/>
      <c r="E375" s="54"/>
      <c r="F375" s="54"/>
      <c r="G375" s="54"/>
      <c r="H375" s="54"/>
      <c r="I375" s="32"/>
      <c r="J375" s="32"/>
      <c r="K375" s="32"/>
      <c r="L375" s="32"/>
    </row>
    <row r="376" spans="2:12" x14ac:dyDescent="0.25">
      <c r="B376" s="54"/>
      <c r="C376" s="54"/>
      <c r="D376" s="54"/>
      <c r="E376" s="54"/>
      <c r="F376" s="54"/>
      <c r="G376" s="54"/>
      <c r="H376" s="54"/>
      <c r="I376" s="32"/>
      <c r="J376" s="32"/>
      <c r="K376" s="32"/>
      <c r="L376" s="32"/>
    </row>
    <row r="377" spans="2:12" x14ac:dyDescent="0.25">
      <c r="B377" s="54"/>
      <c r="C377" s="54"/>
      <c r="D377" s="54"/>
      <c r="E377" s="54"/>
      <c r="F377" s="54"/>
      <c r="G377" s="54"/>
      <c r="H377" s="54"/>
      <c r="I377" s="32"/>
      <c r="J377" s="32"/>
      <c r="K377" s="32"/>
      <c r="L377" s="32"/>
    </row>
    <row r="378" spans="2:12" x14ac:dyDescent="0.25">
      <c r="B378" s="54"/>
      <c r="C378" s="54"/>
      <c r="D378" s="54"/>
      <c r="E378" s="54"/>
      <c r="F378" s="54"/>
      <c r="G378" s="54"/>
      <c r="H378" s="54"/>
      <c r="I378" s="32"/>
      <c r="J378" s="32"/>
      <c r="K378" s="32"/>
      <c r="L378" s="32"/>
    </row>
    <row r="379" spans="2:12" x14ac:dyDescent="0.25">
      <c r="B379" s="54"/>
      <c r="C379" s="54"/>
      <c r="D379" s="54"/>
      <c r="E379" s="54"/>
      <c r="F379" s="54"/>
      <c r="G379" s="54"/>
      <c r="H379" s="54"/>
      <c r="I379" s="32"/>
      <c r="J379" s="32"/>
      <c r="K379" s="32"/>
      <c r="L379" s="32"/>
    </row>
    <row r="380" spans="2:12" x14ac:dyDescent="0.25">
      <c r="B380" s="54"/>
      <c r="C380" s="54"/>
      <c r="D380" s="54"/>
      <c r="E380" s="54"/>
      <c r="F380" s="54"/>
      <c r="G380" s="54"/>
      <c r="H380" s="54"/>
      <c r="I380" s="32"/>
      <c r="J380" s="32"/>
      <c r="K380" s="32"/>
      <c r="L380" s="32"/>
    </row>
    <row r="381" spans="2:12" x14ac:dyDescent="0.25">
      <c r="B381" s="54"/>
      <c r="C381" s="54"/>
      <c r="D381" s="54"/>
      <c r="E381" s="54"/>
      <c r="F381" s="54"/>
      <c r="G381" s="54"/>
      <c r="H381" s="54"/>
      <c r="I381" s="32"/>
      <c r="J381" s="32"/>
      <c r="K381" s="32"/>
      <c r="L381" s="32"/>
    </row>
    <row r="382" spans="2:12" x14ac:dyDescent="0.25"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</row>
  </sheetData>
  <mergeCells count="14">
    <mergeCell ref="B86:C86"/>
    <mergeCell ref="B102:C102"/>
    <mergeCell ref="B2:F4"/>
    <mergeCell ref="B6:C6"/>
    <mergeCell ref="B26:C26"/>
    <mergeCell ref="B41:C41"/>
    <mergeCell ref="B57:C57"/>
    <mergeCell ref="B276:C276"/>
    <mergeCell ref="B292:C292"/>
    <mergeCell ref="B192:F194"/>
    <mergeCell ref="B196:C196"/>
    <mergeCell ref="B216:C216"/>
    <mergeCell ref="B231:C231"/>
    <mergeCell ref="B247:C247"/>
  </mergeCells>
  <phoneticPr fontId="17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F23"/>
  <sheetViews>
    <sheetView showGridLines="0" topLeftCell="B1" zoomScale="90" zoomScaleNormal="90" workbookViewId="0">
      <selection activeCell="A12" sqref="A12"/>
    </sheetView>
  </sheetViews>
  <sheetFormatPr defaultRowHeight="15" x14ac:dyDescent="0.25"/>
  <cols>
    <col min="1" max="1" width="19.7109375" bestFit="1" customWidth="1"/>
    <col min="2" max="2" width="84.42578125" bestFit="1" customWidth="1"/>
    <col min="3" max="3" width="66.5703125" customWidth="1"/>
    <col min="4" max="4" width="18.7109375" customWidth="1"/>
    <col min="5" max="5" width="68.28515625" customWidth="1"/>
    <col min="6" max="6" width="10.7109375" bestFit="1" customWidth="1"/>
  </cols>
  <sheetData>
    <row r="2" spans="1:6" ht="38.25" customHeight="1" x14ac:dyDescent="0.45">
      <c r="A2" t="e" vm="1">
        <v>#VALUE!</v>
      </c>
      <c r="B2" s="81" t="s">
        <v>387</v>
      </c>
    </row>
    <row r="3" spans="1:6" x14ac:dyDescent="0.25">
      <c r="E3" s="2"/>
    </row>
    <row r="4" spans="1:6" x14ac:dyDescent="0.25">
      <c r="B4" s="4" t="s">
        <v>388</v>
      </c>
      <c r="C4" s="78" t="s">
        <v>389</v>
      </c>
      <c r="D4" s="79"/>
    </row>
    <row r="5" spans="1:6" ht="41.45" customHeight="1" x14ac:dyDescent="0.25">
      <c r="B5" s="4" t="s">
        <v>390</v>
      </c>
      <c r="C5" s="78" t="s">
        <v>391</v>
      </c>
      <c r="D5" s="79"/>
    </row>
    <row r="6" spans="1:6" x14ac:dyDescent="0.25">
      <c r="B6" s="4" t="s">
        <v>392</v>
      </c>
      <c r="C6" s="78" t="s">
        <v>393</v>
      </c>
      <c r="D6" s="79"/>
    </row>
    <row r="7" spans="1:6" x14ac:dyDescent="0.25">
      <c r="B7" s="4" t="s">
        <v>394</v>
      </c>
      <c r="C7" s="78" t="s">
        <v>395</v>
      </c>
      <c r="D7" s="79"/>
    </row>
    <row r="8" spans="1:6" x14ac:dyDescent="0.25">
      <c r="B8" s="4" t="s">
        <v>396</v>
      </c>
      <c r="C8" s="78" t="s">
        <v>397</v>
      </c>
      <c r="D8" s="79"/>
    </row>
    <row r="9" spans="1:6" x14ac:dyDescent="0.25">
      <c r="B9" s="4" t="s">
        <v>398</v>
      </c>
      <c r="C9" s="78" t="s">
        <v>399</v>
      </c>
      <c r="D9" s="79"/>
    </row>
    <row r="10" spans="1:6" x14ac:dyDescent="0.25">
      <c r="B10" s="4" t="s">
        <v>400</v>
      </c>
      <c r="C10" s="78" t="s">
        <v>401</v>
      </c>
      <c r="D10" s="79"/>
    </row>
    <row r="11" spans="1:6" x14ac:dyDescent="0.25">
      <c r="B11" s="4" t="s">
        <v>402</v>
      </c>
      <c r="C11" s="78" t="s">
        <v>403</v>
      </c>
      <c r="D11" s="79"/>
    </row>
    <row r="12" spans="1:6" ht="45" x14ac:dyDescent="0.25">
      <c r="B12" s="3" t="s">
        <v>404</v>
      </c>
      <c r="C12" s="78" t="s">
        <v>405</v>
      </c>
      <c r="D12" s="79"/>
    </row>
    <row r="14" spans="1:6" x14ac:dyDescent="0.25">
      <c r="A14" s="65" t="s">
        <v>406</v>
      </c>
      <c r="B14" s="65"/>
    </row>
    <row r="15" spans="1:6" ht="19.149999999999999" customHeight="1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  <c r="F15" s="56"/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59" t="s">
        <v>107</v>
      </c>
    </row>
    <row r="17" spans="1:5" s="58" customFormat="1" x14ac:dyDescent="0.25">
      <c r="A17" s="4" t="s">
        <v>108</v>
      </c>
      <c r="B17" s="4" t="s">
        <v>105</v>
      </c>
      <c r="C17" s="4" t="s">
        <v>115</v>
      </c>
      <c r="D17" s="4" t="s">
        <v>93</v>
      </c>
      <c r="E17" s="4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7" t="s">
        <v>83</v>
      </c>
      <c r="B22" s="57" t="s">
        <v>85</v>
      </c>
      <c r="C22" s="57" t="s">
        <v>100</v>
      </c>
      <c r="D22" s="57" t="s">
        <v>87</v>
      </c>
      <c r="E22" s="57" t="s">
        <v>101</v>
      </c>
    </row>
    <row r="23" spans="1:5" s="58" customFormat="1" x14ac:dyDescent="0.25">
      <c r="A23" s="4"/>
      <c r="B23" s="4"/>
      <c r="C23" s="4"/>
      <c r="D23" s="4"/>
      <c r="E23" s="4"/>
    </row>
  </sheetData>
  <dataValidations count="9">
    <dataValidation type="list" showInputMessage="1" showErrorMessage="1" sqref="C4" xr:uid="{00000000-0002-0000-0100-000000000000}">
      <formula1>"Até 10 dias, Frequência recorrente e/ou duração persistente (&gt; 10 dias)"</formula1>
    </dataValidation>
    <dataValidation type="list" allowBlank="1" showInputMessage="1" showErrorMessage="1" sqref="C5" xr:uid="{00000000-0002-0000-0100-000001000000}">
      <mc:AlternateContent xmlns:x12ac="http://schemas.microsoft.com/office/spreadsheetml/2011/1/ac" xmlns:mc="http://schemas.openxmlformats.org/markup-compatibility/2006">
        <mc:Choice Requires="x12ac">
          <x12ac:list>Paciente não tem nenhuma característica de alerta," Espirros em salvas acompanhados de rinorreia aquosa, lacrimejamento e prurido nasal persistentes, relacionados ou não à história de alergia"</x12ac:list>
        </mc:Choice>
        <mc:Fallback>
          <formula1>"Paciente não tem nenhuma característica de alerta, Espirros em salvas acompanhados de rinorreia aquosa, lacrimejamento e prurido nasal persistentes, relacionados ou não à história de alergia"</formula1>
        </mc:Fallback>
      </mc:AlternateContent>
    </dataValidation>
    <dataValidation type="list" allowBlank="1" showInputMessage="1" showErrorMessage="1" sqref="C6" xr:uid="{00000000-0002-0000-0100-000002000000}">
      <formula1>"Paciente NÃO está incapacitado para realizar atividades diárias, O sinal/sintoma compromete a realização das atividades diárias "</formula1>
    </dataValidation>
    <dataValidation type="list" allowBlank="1" showInputMessage="1" showErrorMessage="1" sqref="C7" xr:uid="{00000000-0002-0000-0100-000003000000}">
      <formula1>"Nenhum (a) ambiente/ situação de alerta, Poluição externa ou irritantes (inalação de serragem de madeira ou compostos químicos voláteis)"</formula1>
    </dataValidation>
    <dataValidation type="list" allowBlank="1" showInputMessage="1" showErrorMessage="1" sqref="C8" xr:uid="{00000000-0002-0000-0100-000004000000}">
      <formula1>"Nenhum(a) fator/situação de alerta, Tabagistas ativos ou passivos que estiverem com tosse por mais de 14 dias, existência de corpo estranho em vias aéreas, agentes relacionados ao trabalho e alérgenos"</formula1>
    </dataValidation>
    <dataValidation type="list" allowBlank="1" showInputMessage="1" showErrorMessage="1" sqref="C9" xr:uid="{00000000-0002-0000-0100-000005000000}">
      <mc:AlternateContent xmlns:x12ac="http://schemas.microsoft.com/office/spreadsheetml/2011/1/ac" xmlns:mc="http://schemas.openxmlformats.org/markup-compatibility/2006">
        <mc:Choice Requires="x12ac">
          <x12ac:list>"Tosse leve, mal-estar, dor de cabeça, febre baixa"," Tosse com secreção excessiva (aspecto purulento, fétido e/ou existência de sangue) e/ou persistente por mais de 14 dias ou tosse recorrente"</x12ac:list>
        </mc:Choice>
        <mc:Fallback>
          <formula1>"Tosse leve, mal-estar, dor de cabeça, febre baixa, Tosse com secreção excessiva (aspecto purulento, fétido e/ou existência de sangue) e/ou persistente por mais de 14 dias ou tosse recorrente"</formula1>
        </mc:Fallback>
      </mc:AlternateContent>
    </dataValidation>
    <dataValidation type="list" allowBlank="1" showInputMessage="1" showErrorMessage="1" sqref="C10" xr:uid="{00000000-0002-0000-01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(-&gt; 2 anos), lactantes, gestantes, idosos"</x12ac:list>
        </mc:Choice>
        <mc:Fallback>
          <formula1>"Sem características de alerta, Crianças (-&gt; 2 anos), lactantes, gestantes, idosos"</formula1>
        </mc:Fallback>
      </mc:AlternateContent>
    </dataValidation>
    <dataValidation type="list" allowBlank="1" showInputMessage="1" showErrorMessage="1" sqref="C11" xr:uid="{00000000-0002-0000-0100-00000700000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ou agrava o sinal/sintoma," Pacientes com asma, doença pulmonar obstrutiva crônica, insuficiência cardíaca ou doença arterial coronariana, se presença de dispneia, taquipneia ou dor torácica"</x12ac:list>
        </mc:Choice>
        <mc:Fallback>
          <formula1>"Nenhuma condição de saúde que predispõe ou agrava o sinal/sintoma, Pacientes com asma, doença pulmonar obstrutiva crônica, insuficiência cardíaca ou doença arterial coronariana, se presença de dispneia, taquipneia ou dor torácica"</formula1>
        </mc:Fallback>
      </mc:AlternateContent>
    </dataValidation>
    <dataValidation type="list" allowBlank="1" showInputMessage="1" showErrorMessage="1" sqref="C12" xr:uid="{00000000-0002-0000-0100-000008000000}">
      <mc:AlternateContent xmlns:x12ac="http://schemas.microsoft.com/office/spreadsheetml/2011/1/ac" xmlns:mc="http://schemas.openxmlformats.org/markup-compatibility/2006">
        <mc:Choice Requires="x12ac">
          <x12ac:list>Sem histórico relevante," Pacientes com histórico de uso contínuo de descongestionantes nasais e quadro condizente com rinite causada por medicamentos, com sinais/ sintomas de complicações"</x12ac:list>
        </mc:Choice>
        <mc:Fallback>
          <formula1>"Sem histórico relevante, Pacientes com histórico de uso contínuo de descongestionantes nasais e quadro condizente com rinite causada por medicamentos, com sinais/ sintomas de complicações"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Option Button 4">
              <controlPr defaultSize="0" autoFill="0" autoLine="0" autoPict="0" macro="[0]!LimparValoresTemporarios">
                <anchor moveWithCells="1">
                  <from>
                    <xdr:col>2</xdr:col>
                    <xdr:colOff>1476375</xdr:colOff>
                    <xdr:row>1</xdr:row>
                    <xdr:rowOff>190500</xdr:rowOff>
                  </from>
                  <to>
                    <xdr:col>2</xdr:col>
                    <xdr:colOff>2543175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Option Button 3">
              <controlPr defaultSize="0" autoFill="0" autoLine="0" autoPict="0" macro="[0]!GerarDiagnostico_EspirroCongestao">
                <anchor moveWithCells="1">
                  <from>
                    <xdr:col>2</xdr:col>
                    <xdr:colOff>200025</xdr:colOff>
                    <xdr:row>1</xdr:row>
                    <xdr:rowOff>85725</xdr:rowOff>
                  </from>
                  <to>
                    <xdr:col>2</xdr:col>
                    <xdr:colOff>1333500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Option Button 6">
              <controlPr defaultSize="0" autoFill="0" autoLine="0" autoPict="0" macro="[0]!CopiarColunasCE">
                <anchor moveWithCells="1">
                  <from>
                    <xdr:col>2</xdr:col>
                    <xdr:colOff>2686050</xdr:colOff>
                    <xdr:row>1</xdr:row>
                    <xdr:rowOff>95250</xdr:rowOff>
                  </from>
                  <to>
                    <xdr:col>2</xdr:col>
                    <xdr:colOff>3943350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F23"/>
  <sheetViews>
    <sheetView showGridLines="0" zoomScale="82" zoomScaleNormal="82" workbookViewId="0">
      <selection activeCell="A12" sqref="A12"/>
    </sheetView>
  </sheetViews>
  <sheetFormatPr defaultRowHeight="15" customHeight="1" x14ac:dyDescent="0.25"/>
  <cols>
    <col min="1" max="1" width="18.140625" customWidth="1"/>
    <col min="2" max="2" width="78.140625" bestFit="1" customWidth="1"/>
    <col min="3" max="3" width="78.140625" customWidth="1"/>
    <col min="4" max="4" width="89.28515625" bestFit="1" customWidth="1"/>
    <col min="5" max="5" width="62.7109375" bestFit="1" customWidth="1"/>
  </cols>
  <sheetData>
    <row r="2" spans="1:5" ht="36" customHeight="1" x14ac:dyDescent="0.35">
      <c r="A2" t="e" vm="1">
        <v>#VALUE!</v>
      </c>
      <c r="B2" s="9" t="s">
        <v>410</v>
      </c>
      <c r="C2" s="9"/>
    </row>
    <row r="4" spans="1:5" x14ac:dyDescent="0.25">
      <c r="B4" s="6" t="s">
        <v>388</v>
      </c>
      <c r="C4" s="5" t="s">
        <v>455</v>
      </c>
    </row>
    <row r="5" spans="1:5" ht="30" x14ac:dyDescent="0.25">
      <c r="B5" s="6" t="s">
        <v>390</v>
      </c>
      <c r="C5" s="5" t="s">
        <v>456</v>
      </c>
    </row>
    <row r="6" spans="1:5" x14ac:dyDescent="0.25">
      <c r="B6" s="6" t="s">
        <v>392</v>
      </c>
      <c r="C6" s="5" t="s">
        <v>457</v>
      </c>
    </row>
    <row r="7" spans="1:5" x14ac:dyDescent="0.25">
      <c r="B7" s="6" t="s">
        <v>394</v>
      </c>
      <c r="C7" s="5" t="s">
        <v>395</v>
      </c>
    </row>
    <row r="8" spans="1:5" x14ac:dyDescent="0.25">
      <c r="B8" s="6" t="s">
        <v>396</v>
      </c>
      <c r="C8" s="5"/>
    </row>
    <row r="9" spans="1:5" x14ac:dyDescent="0.25">
      <c r="B9" s="6" t="s">
        <v>398</v>
      </c>
      <c r="C9" s="5"/>
    </row>
    <row r="10" spans="1:5" x14ac:dyDescent="0.25">
      <c r="B10" s="6" t="s">
        <v>400</v>
      </c>
      <c r="C10" s="5"/>
    </row>
    <row r="11" spans="1:5" x14ac:dyDescent="0.25">
      <c r="B11" s="6" t="s">
        <v>402</v>
      </c>
      <c r="C11" s="5"/>
    </row>
    <row r="12" spans="1:5" ht="44.45" customHeight="1" x14ac:dyDescent="0.25">
      <c r="B12" s="5" t="s">
        <v>404</v>
      </c>
      <c r="C12" s="5"/>
    </row>
    <row r="14" spans="1:5" x14ac:dyDescent="0.25">
      <c r="A14" s="65"/>
    </row>
    <row r="15" spans="1:5" x14ac:dyDescent="0.25">
      <c r="A15" s="66"/>
      <c r="B15" s="66"/>
      <c r="C15" s="66"/>
      <c r="D15" s="66"/>
      <c r="E15" s="66"/>
    </row>
    <row r="16" spans="1:5" s="61" customFormat="1" x14ac:dyDescent="0.25">
      <c r="A16" s="4"/>
      <c r="B16" s="4"/>
      <c r="C16" s="4"/>
      <c r="D16" s="5"/>
      <c r="E16" s="5"/>
    </row>
    <row r="17" spans="1:6" x14ac:dyDescent="0.25">
      <c r="A17" s="4"/>
      <c r="B17" s="4"/>
      <c r="C17" s="4"/>
      <c r="D17" s="4"/>
      <c r="E17" s="4"/>
    </row>
    <row r="18" spans="1:6" s="58" customFormat="1" x14ac:dyDescent="0.25">
      <c r="A18" s="4"/>
      <c r="B18" s="4"/>
      <c r="C18" s="4"/>
      <c r="D18" s="4"/>
      <c r="E18" s="4"/>
    </row>
    <row r="19" spans="1:6" s="58" customFormat="1" x14ac:dyDescent="0.25">
      <c r="A19" s="4"/>
      <c r="B19" s="4"/>
      <c r="C19" s="4"/>
      <c r="D19" s="4"/>
      <c r="E19" s="4"/>
    </row>
    <row r="20" spans="1:6" s="58" customFormat="1" x14ac:dyDescent="0.25">
      <c r="A20" s="4"/>
      <c r="B20" s="4"/>
      <c r="C20" s="4"/>
      <c r="D20" s="4"/>
      <c r="E20" s="4"/>
    </row>
    <row r="21" spans="1:6" s="58" customFormat="1" x14ac:dyDescent="0.25">
      <c r="A21" s="4"/>
      <c r="B21" s="4"/>
      <c r="C21" s="4"/>
      <c r="D21" s="4"/>
      <c r="E21" s="4"/>
    </row>
    <row r="22" spans="1:6" s="58" customFormat="1" x14ac:dyDescent="0.25">
      <c r="A22" s="4"/>
      <c r="B22" s="4"/>
      <c r="C22" s="4"/>
      <c r="D22" s="4"/>
      <c r="E22" s="4"/>
    </row>
    <row r="23" spans="1:6" s="58" customFormat="1" x14ac:dyDescent="0.25">
      <c r="A23"/>
      <c r="B23"/>
      <c r="C23"/>
      <c r="D23"/>
      <c r="E23"/>
      <c r="F23" s="58" t="s">
        <v>454</v>
      </c>
    </row>
  </sheetData>
  <dataValidations count="9">
    <dataValidation type="list" allowBlank="1" showInputMessage="1" showErrorMessage="1" sqref="C4" xr:uid="{00000000-0002-0000-0500-000000000000}">
      <formula1>"&lt; 1 mês, Lesão cutânea presente há mais de 1 mês"</formula1>
    </dataValidation>
    <dataValidation type="list" allowBlank="1" showInputMessage="1" showErrorMessage="1" sqref="C5" xr:uid="{00000000-0002-0000-0500-000001000000}">
      <mc:AlternateContent xmlns:x12ac="http://schemas.microsoft.com/office/spreadsheetml/2011/1/ac" xmlns:mc="http://schemas.openxmlformats.org/markup-compatibility/2006">
        <mc:Choice Requires="x12ac">
          <x12ac:list>"Placa eritematosa a acastanhada, superficial, escamosa, com bordas ativas e claras no centro"," Sinais de reação anafilática,  ferida aberta, exposição do tecido muscular, nódulo, fístula ou cisto"</x12ac:list>
        </mc:Choice>
        <mc:Fallback>
          <formula1>"Placa eritematosa a acastanhada, superficial, escamosa, com bordas ativas e claras no centro, Sinais de reação anafilática,  ferida aberta, exposição do tecido muscular, nódulo, fístula ou cisto"</formula1>
        </mc:Fallback>
      </mc:AlternateContent>
    </dataValidation>
    <dataValidation type="list" allowBlank="1" showInputMessage="1" showErrorMessage="1" sqref="C6" xr:uid="{00000000-0002-0000-0500-000002000000}">
      <formula1>"Leve a moderada. Paciente NÃO tem grandes áreas do corpo acometidas, Intensa. O sinal/sintoma compromete grandes áreas do corpo do paciente."</formula1>
    </dataValidation>
    <dataValidation type="list" allowBlank="1" showInputMessage="1" showErrorMessage="1" sqref="C7" xr:uid="{00000000-0002-0000-0500-000003000000}">
      <mc:AlternateContent xmlns:x12ac="http://schemas.microsoft.com/office/spreadsheetml/2011/1/ac" xmlns:mc="http://schemas.openxmlformats.org/markup-compatibility/2006">
        <mc:Choice Requires="x12ac">
          <x12ac:list>Nenhum (a) ambiente/ situação de alerta," Resultado de trauma, queimadura, escoriação ou picada de animais peçonhentos"</x12ac:list>
        </mc:Choice>
        <mc:Fallback>
          <formula1>"Nenhum (a) ambiente/ situação de alerta, Resultado de trauma, queimadura, escoriação ou picada de animais peçonhentos"</formula1>
        </mc:Fallback>
      </mc:AlternateContent>
    </dataValidation>
    <dataValidation type="list" allowBlank="1" showInputMessage="1" showErrorMessage="1" sqref="C8" xr:uid="{00000000-0002-0000-0500-000004000000}">
      <formula1>"Umidade ou falta de higiene adequada, Lesões que pioram com a exposição à luz solar"</formula1>
    </dataValidation>
    <dataValidation type="list" allowBlank="1" showInputMessage="1" showErrorMessage="1" sqref="C9" xr:uid="{00000000-0002-0000-0500-000005000000}">
      <mc:AlternateContent xmlns:x12ac="http://schemas.microsoft.com/office/spreadsheetml/2011/1/ac" xmlns:mc="http://schemas.openxmlformats.org/markup-compatibility/2006">
        <mc:Choice Requires="x12ac">
          <x12ac:list>Prurido. Não apresenta outros sinais/sintomas associados," Sangramento, crescimento rápido, lesão hipercrômica assimétrica, fissura, presença de pus ou secreção, dor, bolhas, pápulas, pústulas ou perda de sensibilidade no local"</x12ac:list>
        </mc:Choice>
        <mc:Fallback>
          <formula1>"Prurido. Não apresenta outros sinais/sintomas associados, Sangramento, crescimento rápido, lesão hipercrômica assimétrica, fissura, presença de pus ou secreção, dor, bolhas, pápulas, pústulas ou perda de sensibilidade no local"</formula1>
        </mc:Fallback>
      </mc:AlternateContent>
    </dataValidation>
    <dataValidation type="list" allowBlank="1" showInputMessage="1" showErrorMessage="1" sqref="C10" xr:uid="{00000000-0002-0000-05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 ," Crianças menores de 2 anos, gestantes ou lactantes"</x12ac:list>
        </mc:Choice>
        <mc:Fallback>
          <formula1>"Sem características de alerta , Crianças menores de 2 anos, gestantes ou lactantes"</formula1>
        </mc:Fallback>
      </mc:AlternateContent>
    </dataValidation>
    <dataValidation type="list" allowBlank="1" showInputMessage="1" showErrorMessage="1" sqref="C11" xr:uid="{00000000-0002-0000-0500-00000700000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ou agrava o sinal/sintoma," Paciente imunossuprimido (HIV positivo, recebeu transplante de órgãos)"</x12ac:list>
        </mc:Choice>
        <mc:Fallback>
          <formula1>"Nenhuma condição de saúde que predispõe ou agrava o sinal/sintoma, Paciente imunossuprimido (HIV positivo, recebeu transplante de órgãos)"</formula1>
        </mc:Fallback>
      </mc:AlternateContent>
    </dataValidation>
    <dataValidation type="list" allowBlank="1" showInputMessage="1" showErrorMessage="1" sqref="C12" xr:uid="{00000000-0002-0000-0500-000008000000}">
      <formula1>"Sem histórico relevante, Uso de medicamento imunossupressor ou corticosteroide. Falha terapêutica com o uso correto de medicamentos isentos de prescrição"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Option Button 4">
              <controlPr defaultSize="0" autoFill="0" autoLine="0" autoPict="0" macro="[0]!GerarDiagnostico_InfeccaoFungica">
                <anchor moveWithCells="1">
                  <from>
                    <xdr:col>2</xdr:col>
                    <xdr:colOff>219075</xdr:colOff>
                    <xdr:row>1</xdr:row>
                    <xdr:rowOff>171450</xdr:rowOff>
                  </from>
                  <to>
                    <xdr:col>2</xdr:col>
                    <xdr:colOff>1314450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Option Button 6">
              <controlPr defaultSize="0" autoFill="0" autoLine="0" autoPict="0" macro="[0]!CopiarLinhas2">
                <anchor moveWithCells="1">
                  <from>
                    <xdr:col>2</xdr:col>
                    <xdr:colOff>1743075</xdr:colOff>
                    <xdr:row>1</xdr:row>
                    <xdr:rowOff>142875</xdr:rowOff>
                  </from>
                  <to>
                    <xdr:col>2</xdr:col>
                    <xdr:colOff>3190875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M23"/>
  <sheetViews>
    <sheetView showGridLines="0" topLeftCell="C1" zoomScale="86" zoomScaleNormal="86" workbookViewId="0">
      <selection activeCell="C2" sqref="C2"/>
    </sheetView>
  </sheetViews>
  <sheetFormatPr defaultRowHeight="15" customHeight="1" x14ac:dyDescent="0.25"/>
  <cols>
    <col min="1" max="1" width="32.5703125" bestFit="1" customWidth="1"/>
    <col min="2" max="2" width="91.28515625" customWidth="1"/>
    <col min="3" max="3" width="78.7109375" bestFit="1" customWidth="1"/>
    <col min="4" max="4" width="71.42578125" bestFit="1" customWidth="1"/>
    <col min="5" max="5" width="89" bestFit="1" customWidth="1"/>
  </cols>
  <sheetData>
    <row r="2" spans="1:13" ht="42.75" customHeight="1" x14ac:dyDescent="0.5">
      <c r="A2" t="e" vm="1">
        <v>#VALUE!</v>
      </c>
      <c r="B2" s="7" t="s">
        <v>411</v>
      </c>
    </row>
    <row r="3" spans="1:13" x14ac:dyDescent="0.25">
      <c r="D3" s="2"/>
    </row>
    <row r="4" spans="1:13" x14ac:dyDescent="0.25">
      <c r="B4" s="6" t="s">
        <v>388</v>
      </c>
      <c r="C4" s="5"/>
    </row>
    <row r="5" spans="1:13" x14ac:dyDescent="0.25">
      <c r="B5" s="6" t="s">
        <v>390</v>
      </c>
      <c r="C5" s="5"/>
    </row>
    <row r="6" spans="1:13" x14ac:dyDescent="0.25">
      <c r="B6" s="6" t="s">
        <v>392</v>
      </c>
      <c r="C6" s="5"/>
    </row>
    <row r="7" spans="1:13" x14ac:dyDescent="0.25">
      <c r="B7" s="6" t="s">
        <v>394</v>
      </c>
      <c r="C7" s="5"/>
    </row>
    <row r="8" spans="1:13" x14ac:dyDescent="0.25">
      <c r="B8" s="6" t="s">
        <v>396</v>
      </c>
      <c r="C8" s="5"/>
    </row>
    <row r="9" spans="1:13" x14ac:dyDescent="0.25">
      <c r="B9" s="6" t="s">
        <v>398</v>
      </c>
      <c r="C9" s="5"/>
    </row>
    <row r="10" spans="1:13" x14ac:dyDescent="0.25">
      <c r="B10" s="6" t="s">
        <v>400</v>
      </c>
      <c r="C10" s="5"/>
    </row>
    <row r="11" spans="1:13" x14ac:dyDescent="0.25">
      <c r="B11" s="6" t="s">
        <v>402</v>
      </c>
      <c r="C11" s="5"/>
    </row>
    <row r="12" spans="1:13" ht="43.5" customHeight="1" x14ac:dyDescent="0.25">
      <c r="B12" s="5" t="s">
        <v>404</v>
      </c>
      <c r="C12" s="5"/>
    </row>
    <row r="14" spans="1:13" x14ac:dyDescent="0.25">
      <c r="A14" s="65" t="s">
        <v>412</v>
      </c>
    </row>
    <row r="15" spans="1:13" x14ac:dyDescent="0.25">
      <c r="A15" s="7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  <c r="F15" s="32"/>
      <c r="G15" s="32"/>
      <c r="H15" s="32"/>
      <c r="I15" s="32"/>
      <c r="J15" s="32"/>
      <c r="K15" s="32"/>
      <c r="L15" s="32"/>
      <c r="M15" s="32"/>
    </row>
    <row r="16" spans="1:13" s="61" customFormat="1" ht="14.45" customHeight="1" x14ac:dyDescent="0.25">
      <c r="A16" s="59" t="s">
        <v>103</v>
      </c>
      <c r="B16" s="59" t="s">
        <v>105</v>
      </c>
      <c r="C16" s="59" t="s">
        <v>142</v>
      </c>
      <c r="D16" s="60"/>
      <c r="E16" s="60"/>
    </row>
    <row r="17" spans="1:5" s="58" customFormat="1" x14ac:dyDescent="0.25">
      <c r="A17" s="4" t="s">
        <v>108</v>
      </c>
      <c r="B17" s="4" t="s">
        <v>105</v>
      </c>
      <c r="C17" s="4" t="s">
        <v>144</v>
      </c>
      <c r="D17" s="4" t="s">
        <v>119</v>
      </c>
      <c r="E17" s="4" t="s">
        <v>145</v>
      </c>
    </row>
    <row r="18" spans="1:5" s="58" customFormat="1" x14ac:dyDescent="0.25">
      <c r="A18" s="4" t="s">
        <v>121</v>
      </c>
      <c r="B18" s="4" t="s">
        <v>105</v>
      </c>
      <c r="C18" s="4" t="s">
        <v>146</v>
      </c>
      <c r="D18" s="4" t="s">
        <v>119</v>
      </c>
      <c r="E18" s="4" t="s">
        <v>147</v>
      </c>
    </row>
    <row r="19" spans="1:5" s="58" customFormat="1" x14ac:dyDescent="0.25">
      <c r="A19" s="57" t="s">
        <v>83</v>
      </c>
      <c r="B19" s="57" t="s">
        <v>85</v>
      </c>
      <c r="C19" s="57" t="s">
        <v>134</v>
      </c>
      <c r="D19" s="57" t="s">
        <v>85</v>
      </c>
      <c r="E19" s="57" t="s">
        <v>135</v>
      </c>
    </row>
    <row r="20" spans="1:5" s="58" customFormat="1" x14ac:dyDescent="0.25">
      <c r="A20" s="57" t="s">
        <v>83</v>
      </c>
      <c r="B20" s="57" t="s">
        <v>85</v>
      </c>
      <c r="C20" s="57" t="s">
        <v>136</v>
      </c>
      <c r="D20" s="57" t="s">
        <v>137</v>
      </c>
      <c r="E20" s="57" t="s">
        <v>138</v>
      </c>
    </row>
    <row r="21" spans="1:5" s="58" customFormat="1" x14ac:dyDescent="0.25">
      <c r="A21" s="57" t="s">
        <v>83</v>
      </c>
      <c r="B21" s="57" t="s">
        <v>85</v>
      </c>
      <c r="C21" s="57" t="s">
        <v>139</v>
      </c>
      <c r="D21" s="57" t="s">
        <v>85</v>
      </c>
      <c r="E21" s="57" t="s">
        <v>140</v>
      </c>
    </row>
    <row r="22" spans="1:5" s="58" customFormat="1" x14ac:dyDescent="0.25">
      <c r="A22"/>
      <c r="B22"/>
      <c r="C22"/>
      <c r="D22"/>
      <c r="E22"/>
    </row>
    <row r="23" spans="1:5" s="58" customFormat="1" x14ac:dyDescent="0.25">
      <c r="A23"/>
      <c r="B23"/>
      <c r="C23"/>
      <c r="D23"/>
      <c r="E23"/>
    </row>
  </sheetData>
  <dataValidations count="6">
    <dataValidation type="list" allowBlank="1" showInputMessage="1" showErrorMessage="1" sqref="C4" xr:uid="{00000000-0002-0000-0200-000000000000}">
      <formula1>"&lt; 4 semanas, Recorrente (&gt; 1 vez ao mês) e/ou duração persistente (≥4 semanas)"</formula1>
    </dataValidation>
    <dataValidation type="list" allowBlank="1" showInputMessage="1" showErrorMessage="1" sqref="C5 C11:C12 C9" xr:uid="{00000000-0002-0000-0200-000001000000}"/>
    <dataValidation type="list" allowBlank="1" showInputMessage="1" showErrorMessage="1" sqref="C6" xr:uid="{00000000-0002-0000-0200-000002000000}">
      <formula1>"Leve a moderada. Paciente NÃO está incapacitado para realizar atividades diárias, Intensa. O sinal/sintoma compromete a realização das atividades diárias"</formula1>
    </dataValidation>
    <dataValidation type="list" allowBlank="1" showInputMessage="1" showErrorMessage="1" sqref="C7" xr:uid="{00000000-0002-0000-0200-000003000000}">
      <formula1>"Nenhum (a) ambiente/ situação de alerta, Dor lombar decorrente de trauma ou acidente"</formula1>
    </dataValidation>
    <dataValidation type="list" allowBlank="1" showInputMessage="1" showErrorMessage="1" sqref="C8" xr:uid="{00000000-0002-0000-0200-000004000000}">
      <formula1>"Nenhum(a) fator/situação de alerta, Paciente com dificuldade de locomoção e/ou acamado"</formula1>
    </dataValidation>
    <dataValidation type="list" allowBlank="1" showInputMessage="1" showErrorMessage="1" sqref="C10" xr:uid="{00000000-0002-0000-0200-000006000000}">
      <formula1>"Sem características de alerta, Crianças (-&gt; 2 anos)"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Option Button 5">
              <controlPr defaultSize="0" autoFill="0" autoLine="0" autoPict="0" macro="[0]!GerarDiagnosticoDorLombar">
                <anchor moveWithCells="1">
                  <from>
                    <xdr:col>2</xdr:col>
                    <xdr:colOff>1638300</xdr:colOff>
                    <xdr:row>1</xdr:row>
                    <xdr:rowOff>171450</xdr:rowOff>
                  </from>
                  <to>
                    <xdr:col>2</xdr:col>
                    <xdr:colOff>2724150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Option Button 6">
              <controlPr defaultSize="0" autoFill="0" autoLine="0" autoPict="0" macro="[0]!CopiarLinhas_3">
                <anchor moveWithCells="1">
                  <from>
                    <xdr:col>2</xdr:col>
                    <xdr:colOff>2962275</xdr:colOff>
                    <xdr:row>1</xdr:row>
                    <xdr:rowOff>142875</xdr:rowOff>
                  </from>
                  <to>
                    <xdr:col>2</xdr:col>
                    <xdr:colOff>4362450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F21"/>
  <sheetViews>
    <sheetView showGridLines="0" topLeftCell="A2" zoomScale="91" zoomScaleNormal="91" workbookViewId="0">
      <selection activeCell="C4" sqref="C4:C12"/>
    </sheetView>
  </sheetViews>
  <sheetFormatPr defaultRowHeight="15" x14ac:dyDescent="0.25"/>
  <cols>
    <col min="1" max="1" width="20" customWidth="1"/>
    <col min="2" max="3" width="79.28515625" bestFit="1" customWidth="1"/>
    <col min="4" max="4" width="19.42578125" bestFit="1" customWidth="1"/>
    <col min="5" max="5" width="90.28515625" bestFit="1" customWidth="1"/>
    <col min="6" max="6" width="8.85546875" customWidth="1"/>
  </cols>
  <sheetData>
    <row r="2" spans="1:6" ht="42" customHeight="1" x14ac:dyDescent="0.5">
      <c r="A2" t="e" vm="1">
        <v>#VALUE!</v>
      </c>
      <c r="B2" s="7" t="s">
        <v>413</v>
      </c>
    </row>
    <row r="3" spans="1:6" x14ac:dyDescent="0.25">
      <c r="E3" s="2"/>
    </row>
    <row r="4" spans="1:6" x14ac:dyDescent="0.25">
      <c r="B4" s="4" t="s">
        <v>388</v>
      </c>
      <c r="C4" s="3"/>
    </row>
    <row r="5" spans="1:6" x14ac:dyDescent="0.25">
      <c r="B5" s="4" t="s">
        <v>390</v>
      </c>
      <c r="C5" s="3"/>
    </row>
    <row r="6" spans="1:6" x14ac:dyDescent="0.25">
      <c r="B6" s="4" t="s">
        <v>392</v>
      </c>
      <c r="C6" s="3"/>
    </row>
    <row r="7" spans="1:6" x14ac:dyDescent="0.25">
      <c r="B7" s="4" t="s">
        <v>394</v>
      </c>
      <c r="C7" s="3"/>
    </row>
    <row r="8" spans="1:6" x14ac:dyDescent="0.25">
      <c r="B8" s="4" t="s">
        <v>396</v>
      </c>
      <c r="C8" s="3"/>
    </row>
    <row r="9" spans="1:6" x14ac:dyDescent="0.25">
      <c r="B9" s="4" t="s">
        <v>398</v>
      </c>
      <c r="C9" s="3"/>
    </row>
    <row r="10" spans="1:6" x14ac:dyDescent="0.25">
      <c r="B10" s="4" t="s">
        <v>400</v>
      </c>
      <c r="C10" s="3"/>
    </row>
    <row r="11" spans="1:6" x14ac:dyDescent="0.25">
      <c r="B11" s="4" t="s">
        <v>402</v>
      </c>
      <c r="C11" s="3"/>
    </row>
    <row r="12" spans="1:6" ht="42.6" customHeight="1" x14ac:dyDescent="0.25">
      <c r="B12" s="3" t="s">
        <v>404</v>
      </c>
      <c r="C12" s="3"/>
    </row>
    <row r="14" spans="1:6" x14ac:dyDescent="0.25">
      <c r="A14" s="65" t="s">
        <v>412</v>
      </c>
    </row>
    <row r="15" spans="1:6" ht="14.45" customHeight="1" x14ac:dyDescent="0.25">
      <c r="A15" s="75" t="s">
        <v>407</v>
      </c>
      <c r="B15" s="66" t="s">
        <v>78</v>
      </c>
      <c r="C15" s="66" t="s">
        <v>408</v>
      </c>
      <c r="D15" s="66" t="s">
        <v>409</v>
      </c>
      <c r="E15" s="74" t="s">
        <v>81</v>
      </c>
    </row>
    <row r="16" spans="1:6" s="61" customFormat="1" ht="14.45" customHeight="1" x14ac:dyDescent="0.25">
      <c r="A16" s="59" t="s">
        <v>103</v>
      </c>
      <c r="B16" s="59" t="s">
        <v>105</v>
      </c>
      <c r="C16" s="59" t="s">
        <v>332</v>
      </c>
      <c r="D16" s="59" t="s">
        <v>379</v>
      </c>
      <c r="E16" s="60"/>
      <c r="F16" s="62"/>
    </row>
    <row r="17" spans="1:5" s="58" customFormat="1" x14ac:dyDescent="0.25">
      <c r="A17" s="4" t="s">
        <v>108</v>
      </c>
      <c r="B17" s="4" t="s">
        <v>105</v>
      </c>
      <c r="C17" s="4" t="s">
        <v>335</v>
      </c>
      <c r="D17" s="4" t="s">
        <v>381</v>
      </c>
      <c r="E17" s="4" t="s">
        <v>382</v>
      </c>
    </row>
    <row r="18" spans="1:5" s="58" customFormat="1" x14ac:dyDescent="0.25">
      <c r="A18" s="4" t="s">
        <v>121</v>
      </c>
      <c r="B18" s="4" t="s">
        <v>105</v>
      </c>
      <c r="C18" s="4" t="s">
        <v>337</v>
      </c>
      <c r="D18" s="4" t="s">
        <v>119</v>
      </c>
      <c r="E18" s="4" t="s">
        <v>383</v>
      </c>
    </row>
    <row r="19" spans="1:5" s="58" customFormat="1" x14ac:dyDescent="0.25">
      <c r="A19" s="57" t="s">
        <v>83</v>
      </c>
      <c r="B19" s="57" t="s">
        <v>85</v>
      </c>
      <c r="C19" s="57" t="s">
        <v>326</v>
      </c>
      <c r="D19" s="57" t="s">
        <v>85</v>
      </c>
      <c r="E19" s="57" t="s">
        <v>376</v>
      </c>
    </row>
    <row r="20" spans="1:5" s="58" customFormat="1" x14ac:dyDescent="0.25">
      <c r="A20" s="57" t="s">
        <v>83</v>
      </c>
      <c r="B20" s="57" t="s">
        <v>85</v>
      </c>
      <c r="C20" s="57" t="s">
        <v>328</v>
      </c>
      <c r="D20" s="57" t="s">
        <v>85</v>
      </c>
      <c r="E20" s="57" t="s">
        <v>377</v>
      </c>
    </row>
    <row r="21" spans="1:5" s="58" customFormat="1" x14ac:dyDescent="0.25">
      <c r="A21" s="57" t="s">
        <v>83</v>
      </c>
      <c r="B21" s="57" t="s">
        <v>85</v>
      </c>
      <c r="C21" s="57" t="s">
        <v>330</v>
      </c>
      <c r="D21" s="57" t="s">
        <v>85</v>
      </c>
      <c r="E21" s="57" t="s">
        <v>378</v>
      </c>
    </row>
  </sheetData>
  <dataValidations count="9">
    <dataValidation type="list" allowBlank="1" showInputMessage="1" showErrorMessage="1" sqref="C4" xr:uid="{00000000-0002-0000-0300-000000000000}">
      <formula1>"Até 7 dias, Frequência recorrente e/ou duração persistente (&gt;7 dias)"</formula1>
    </dataValidation>
    <dataValidation type="list" allowBlank="1" showInputMessage="1" showErrorMessage="1" sqref="C5" xr:uid="{00000000-0002-0000-0300-000001000000}">
      <formula1>"Nenhuma característica de alerta, Dor de garganta de início abrupto. Presença de pus ou manchas brancas na boca ou garganta"</formula1>
    </dataValidation>
    <dataValidation type="list" allowBlank="1" showInputMessage="1" showErrorMessage="1" sqref="C6" xr:uid="{00000000-0002-0000-0300-000002000000}">
      <mc:AlternateContent xmlns:x12ac="http://schemas.microsoft.com/office/spreadsheetml/2011/1/ac" xmlns:mc="http://schemas.openxmlformats.org/markup-compatibility/2006">
        <mc:Choice Requires="x12ac">
          <x12ac:list>Leve a moderada. Paciente NÃO está incapacitado para realizar atividades diárias," Dor intensa, sem melhora após 24 horas. O sinal/sintoma incapacita para a realização das atividades diárias."</x12ac:list>
        </mc:Choice>
        <mc:Fallback>
          <formula1>"Leve a moderada. Paciente NÃO está incapacitado para realizar atividades diárias, Dor intensa, sem melhora após 24 horas. O sinal/sintoma incapacita para a realização das atividades diárias."</formula1>
        </mc:Fallback>
      </mc:AlternateContent>
    </dataValidation>
    <dataValidation type="list" allowBlank="1" showInputMessage="1" showErrorMessage="1" sqref="C7" xr:uid="{00000000-0002-0000-0300-000003000000}">
      <formula1>"Nenhum(a) ambiente/ situação de alerta, Suspeita de exposição a irritantes químicos ou de infecção das vias aéreas superiores."</formula1>
    </dataValidation>
    <dataValidation type="list" allowBlank="1" showInputMessage="1" showErrorMessage="1" sqref="C8" xr:uid="{00000000-0002-0000-0300-000004000000}">
      <mc:AlternateContent xmlns:x12ac="http://schemas.microsoft.com/office/spreadsheetml/2011/1/ac" xmlns:mc="http://schemas.openxmlformats.org/markup-compatibility/2006">
        <mc:Choice Requires="x12ac">
          <x12ac:list>Nenhum(a) fator/situação de alerta," Tabagismo ativo ou passivo, com tosse por mais de 14 dias."</x12ac:list>
        </mc:Choice>
        <mc:Fallback>
          <formula1>"Nenhum(a) fator/situação de alerta, Tabagismo ativo ou passivo, com tosse por mais de 14 dias."</formula1>
        </mc:Fallback>
      </mc:AlternateContent>
    </dataValidation>
    <dataValidation type="list" allowBlank="1" showInputMessage="1" showErrorMessage="1" sqref="C9" xr:uid="{00000000-0002-0000-0300-000005000000}">
      <mc:AlternateContent xmlns:x12ac="http://schemas.microsoft.com/office/spreadsheetml/2011/1/ac" xmlns:mc="http://schemas.openxmlformats.org/markup-compatibility/2006">
        <mc:Choice Requires="x12ac">
          <x12ac:list>"Espirros, congestão nasal, febre e/ou tosse de natureza autolimitada", Dispneia, rigidez no pescoço e dor de cabeça," febre maior que 38°C, por um período superior a 24 horas", dificuldade de engolir (disfagia)</x12ac:list>
        </mc:Choice>
        <mc:Fallback>
          <formula1>"Espirros, congestão nasal, febre e/ou tosse de natureza autolimitada, Dispneia, rigidez no pescoço e dor de cabeça, febre maior que 38°C, por um período superior a 24 horas, dificuldade de engolir (disfagia)"</formula1>
        </mc:Fallback>
      </mc:AlternateContent>
    </dataValidation>
    <dataValidation type="list" allowBlank="1" showInputMessage="1" showErrorMessage="1" sqref="C10" xr:uid="{00000000-0002-0000-0300-000006000000}">
      <formula1>"Sem características de alerta, Crianças (-&gt; 2 anos)"</formula1>
    </dataValidation>
    <dataValidation type="list" allowBlank="1" showInputMessage="1" showErrorMessage="1" sqref="C11" xr:uid="{00000000-0002-0000-0300-000007000000}">
      <formula1>"Nenhuma condição de saúde que predispõe ou agrava o sinal/sintoma, Histórico de infecções recorrentes, neoplasias de garganta"</formula1>
    </dataValidation>
    <dataValidation type="list" allowBlank="1" showInputMessage="1" showErrorMessage="1" sqref="C12" xr:uid="{00000000-0002-0000-0300-000008000000}">
      <mc:AlternateContent xmlns:x12ac="http://schemas.microsoft.com/office/spreadsheetml/2011/1/ac" xmlns:mc="http://schemas.openxmlformats.org/markup-compatibility/2006">
        <mc:Choice Requires="x12ac">
          <x12ac:list>Sem histórico relevante," Uso prolongado de medicamentos que podem causar agranulocitose (carbimazol, neurolépticos, sulfas e citotóxicos). Tratamentos prévios ou concomitantes com falha terapêutica ou reações adversas"</x12ac:list>
        </mc:Choice>
        <mc:Fallback>
          <formula1>"Sem histórico relevante, Uso prolongado de medicamentos que podem causar agranulocitose (carbimazol, neurolépticos, sulfas e citotóxicos). Tratamentos prévios ou concomitantes com falha terapêutica ou reações adversas"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3" name="Option Button 10">
              <controlPr defaultSize="0" autoFill="0" autoLine="0" autoPict="0" macro="[0]!GerarDiagnosticoDorGarganta">
                <anchor moveWithCells="1">
                  <from>
                    <xdr:col>2</xdr:col>
                    <xdr:colOff>257175</xdr:colOff>
                    <xdr:row>1</xdr:row>
                    <xdr:rowOff>247650</xdr:rowOff>
                  </from>
                  <to>
                    <xdr:col>2</xdr:col>
                    <xdr:colOff>1390650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F22"/>
  <sheetViews>
    <sheetView showGridLines="0" zoomScale="86" zoomScaleNormal="86" workbookViewId="0">
      <selection activeCell="A4" sqref="A4"/>
    </sheetView>
  </sheetViews>
  <sheetFormatPr defaultRowHeight="15" x14ac:dyDescent="0.25"/>
  <cols>
    <col min="1" max="1" width="35.7109375" bestFit="1" customWidth="1"/>
    <col min="2" max="3" width="85.140625" bestFit="1" customWidth="1"/>
    <col min="4" max="4" width="83.42578125" customWidth="1"/>
    <col min="5" max="5" width="92.7109375" bestFit="1" customWidth="1"/>
    <col min="6" max="6" width="8.85546875" customWidth="1"/>
  </cols>
  <sheetData>
    <row r="2" spans="1:6" ht="33" customHeight="1" x14ac:dyDescent="0.45">
      <c r="A2" t="e" vm="1">
        <v>#VALUE!</v>
      </c>
      <c r="B2" s="8" t="s">
        <v>414</v>
      </c>
    </row>
    <row r="4" spans="1:6" x14ac:dyDescent="0.25">
      <c r="B4" s="6" t="s">
        <v>388</v>
      </c>
      <c r="C4" s="5"/>
    </row>
    <row r="5" spans="1:6" x14ac:dyDescent="0.25">
      <c r="B5" s="6" t="s">
        <v>390</v>
      </c>
      <c r="C5" s="5"/>
    </row>
    <row r="6" spans="1:6" x14ac:dyDescent="0.25">
      <c r="B6" s="6" t="s">
        <v>392</v>
      </c>
      <c r="C6" s="5"/>
    </row>
    <row r="7" spans="1:6" x14ac:dyDescent="0.25">
      <c r="B7" s="6" t="s">
        <v>394</v>
      </c>
      <c r="C7" s="5"/>
    </row>
    <row r="8" spans="1:6" x14ac:dyDescent="0.25">
      <c r="B8" s="6" t="s">
        <v>396</v>
      </c>
      <c r="C8" s="5"/>
    </row>
    <row r="9" spans="1:6" x14ac:dyDescent="0.25">
      <c r="B9" s="6" t="s">
        <v>398</v>
      </c>
      <c r="C9" s="5"/>
    </row>
    <row r="10" spans="1:6" x14ac:dyDescent="0.25">
      <c r="B10" s="6" t="s">
        <v>400</v>
      </c>
      <c r="C10" s="5"/>
    </row>
    <row r="11" spans="1:6" x14ac:dyDescent="0.25">
      <c r="B11" s="6" t="s">
        <v>402</v>
      </c>
      <c r="C11" s="5"/>
    </row>
    <row r="12" spans="1:6" ht="45" x14ac:dyDescent="0.25">
      <c r="B12" s="5" t="s">
        <v>404</v>
      </c>
      <c r="C12" s="5" t="s">
        <v>405</v>
      </c>
    </row>
    <row r="14" spans="1:6" x14ac:dyDescent="0.25">
      <c r="A14" s="65" t="s">
        <v>406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60" t="s">
        <v>107</v>
      </c>
      <c r="F16" s="62"/>
    </row>
    <row r="17" spans="1:5" s="58" customFormat="1" x14ac:dyDescent="0.25">
      <c r="A17" s="4" t="s">
        <v>108</v>
      </c>
      <c r="B17" s="4" t="s">
        <v>105</v>
      </c>
      <c r="C17" s="4" t="s">
        <v>115</v>
      </c>
      <c r="D17" s="4" t="s">
        <v>93</v>
      </c>
      <c r="E17" s="4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8" t="s">
        <v>83</v>
      </c>
      <c r="B22" s="58" t="s">
        <v>85</v>
      </c>
      <c r="C22" s="58" t="s">
        <v>100</v>
      </c>
      <c r="D22" s="58" t="s">
        <v>87</v>
      </c>
      <c r="E22" s="58" t="s">
        <v>101</v>
      </c>
    </row>
  </sheetData>
  <dataValidations count="9">
    <dataValidation type="list" allowBlank="1" showInputMessage="1" showErrorMessage="1" sqref="C4" xr:uid="{00000000-0002-0000-0400-000000000000}">
      <formula1>"2 dias antes da menstruação, com redução progressiva em 72h, Dor sem relação temporal com a menstruação"</formula1>
    </dataValidation>
    <dataValidation type="list" allowBlank="1" showInputMessage="1" showErrorMessage="1" sqref="C5" xr:uid="{00000000-0002-0000-0400-000001000000}">
      <mc:AlternateContent xmlns:x12ac="http://schemas.microsoft.com/office/spreadsheetml/2011/1/ac" xmlns:mc="http://schemas.openxmlformats.org/markup-compatibility/2006">
        <mc:Choice Requires="x12ac">
          <x12ac:list>"Dor recorrente (mensal), tipo cólica, no abdome inferior (região suprapúbica), durante o período menstrual"," Dor suprapúbica fora do período menstrual, alteração do local da dor menstrual e/ou dor unilateral"</x12ac:list>
        </mc:Choice>
        <mc:Fallback>
          <formula1>"Dor recorrente (mensal), tipo cólica, no abdome inferior (região suprapúbica), durante o período menstrual, Dor suprapúbica fora do período menstrual, alteração do local da dor menstrual e/ou dor unilateral"</formula1>
        </mc:Fallback>
      </mc:AlternateContent>
    </dataValidation>
    <dataValidation type="list" allowBlank="1" showInputMessage="1" showErrorMessage="1" sqref="C6" xr:uid="{00000000-0002-0000-0400-000002000000}">
      <formula1>"Dor leve a moderada ou dor intensa que melhoram com anti-inflamatório, Dor intensa que incapacita para a realização das atividades diárias"</formula1>
    </dataValidation>
    <dataValidation type="list" allowBlank="1" showInputMessage="1" showErrorMessage="1" sqref="C7" xr:uid="{00000000-0002-0000-0400-000003000000}">
      <formula1>"Dor associada ao período menstrual, Não se aplica."</formula1>
    </dataValidation>
    <dataValidation type="list" allowBlank="1" showInputMessage="1" showErrorMessage="1" sqref="C8" xr:uid="{00000000-0002-0000-0400-000004000000}">
      <formula1>"Não é necessario preencher, Não se aplica, "</formula1>
    </dataValidation>
    <dataValidation type="list" allowBlank="1" showInputMessage="1" showErrorMessage="1" sqref="C9" xr:uid="{00000000-0002-0000-0400-000005000000}">
      <mc:AlternateContent xmlns:x12ac="http://schemas.microsoft.com/office/spreadsheetml/2011/1/ac" xmlns:mc="http://schemas.openxmlformats.org/markup-compatibility/2006">
        <mc:Choice Requires="x12ac">
          <x12ac:list>"Mal-estar, dor nas costas ou na coxa"," Dor abdominal associada à diarreia, náuseas, vômitos ou queimação", dor periumbilical que irradia para o quadrante inferior direito</x12ac:list>
        </mc:Choice>
        <mc:Fallback>
          <formula1>"Mal-estar, dor nas costas ou na coxa, Dor abdominal associada à diarreia, náuseas, vômitos ou queimação, dor periumbilical que irradia para o quadrante inferior direito"</formula1>
        </mc:Fallback>
      </mc:AlternateContent>
    </dataValidation>
    <dataValidation type="list" allowBlank="1" showInputMessage="1" showErrorMessage="1" sqref="C10" xr:uid="{00000000-0002-0000-0400-000006000000}">
      <formula1>"Início entre 12 a 13 anos (tipicamente 6 a 12 meses depois da menarca), Início dos sinais/sintomas após 25 anos de idade (30 a 40 anos)"</formula1>
    </dataValidation>
    <dataValidation type="list" allowBlank="1" showInputMessage="1" showErrorMessage="1" sqref="C12" xr:uid="{00000000-0002-0000-0400-000008000000}">
      <formula1>"Sem histórico relevante, Tratamentos prévios ou concomitantes com falha terapêutica ou reações adversas"</formula1>
    </dataValidation>
    <dataValidation type="list" allowBlank="1" showInputMessage="1" showErrorMessage="1" sqref="C11" xr:uid="{00000000-0002-0000-0400-00000700000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ou agrava o sinal,"  hipertensão, insuficiência cardíaca, insuficiência renal, doença gastrointestinal, asma ou bronquite apresentam limitações relativas ao uso de anti-inflamatórios não esteroidais (AINEs)",</x12ac:list>
        </mc:Choice>
        <mc:Fallback>
          <formula1>"Nenhuma condição de saúde que predispõe ou agrava o sinal,  hipertensão, insuficiência cardíaca, insuficiência renal, doença gastrointestinal, asma ou bronquite apresentam limitações relativas ao uso de anti-inflamatórios não esteroidais (AINEs),"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Option Button 6">
              <controlPr defaultSize="0" autoFill="0" autoLine="0" autoPict="0" macro="[0]!GerarDiagnosticoDismenorreia">
                <anchor moveWithCells="1">
                  <from>
                    <xdr:col>2</xdr:col>
                    <xdr:colOff>552450</xdr:colOff>
                    <xdr:row>1</xdr:row>
                    <xdr:rowOff>114300</xdr:rowOff>
                  </from>
                  <to>
                    <xdr:col>2</xdr:col>
                    <xdr:colOff>1619250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F22"/>
  <sheetViews>
    <sheetView showGridLines="0" zoomScale="86" zoomScaleNormal="86" workbookViewId="0">
      <selection activeCell="C2" sqref="C2"/>
    </sheetView>
  </sheetViews>
  <sheetFormatPr defaultRowHeight="15" x14ac:dyDescent="0.25"/>
  <cols>
    <col min="1" max="1" width="35.7109375" bestFit="1" customWidth="1"/>
    <col min="2" max="2" width="85.140625" bestFit="1" customWidth="1"/>
    <col min="3" max="3" width="82.42578125" bestFit="1" customWidth="1"/>
    <col min="4" max="4" width="19.28515625" bestFit="1" customWidth="1"/>
    <col min="5" max="5" width="99.28515625" bestFit="1" customWidth="1"/>
    <col min="6" max="6" width="42.5703125" customWidth="1"/>
  </cols>
  <sheetData>
    <row r="2" spans="1:6" ht="36.75" customHeight="1" x14ac:dyDescent="0.5">
      <c r="A2" t="e" vm="1">
        <v>#VALUE!</v>
      </c>
      <c r="B2" s="7" t="s">
        <v>415</v>
      </c>
    </row>
    <row r="4" spans="1:6" x14ac:dyDescent="0.25">
      <c r="B4" s="6" t="s">
        <v>388</v>
      </c>
      <c r="C4" s="5"/>
    </row>
    <row r="5" spans="1:6" x14ac:dyDescent="0.25">
      <c r="B5" s="6" t="s">
        <v>390</v>
      </c>
      <c r="C5" s="5"/>
    </row>
    <row r="6" spans="1:6" x14ac:dyDescent="0.25">
      <c r="B6" s="6" t="s">
        <v>392</v>
      </c>
      <c r="C6" s="5"/>
    </row>
    <row r="7" spans="1:6" x14ac:dyDescent="0.25">
      <c r="B7" s="6" t="s">
        <v>394</v>
      </c>
      <c r="C7" s="5"/>
    </row>
    <row r="8" spans="1:6" x14ac:dyDescent="0.25">
      <c r="B8" s="6" t="s">
        <v>396</v>
      </c>
      <c r="C8" s="5"/>
    </row>
    <row r="9" spans="1:6" x14ac:dyDescent="0.25">
      <c r="B9" s="6" t="s">
        <v>398</v>
      </c>
      <c r="C9" s="5"/>
    </row>
    <row r="10" spans="1:6" x14ac:dyDescent="0.25">
      <c r="B10" s="6" t="s">
        <v>400</v>
      </c>
      <c r="C10" s="5"/>
    </row>
    <row r="11" spans="1:6" x14ac:dyDescent="0.25">
      <c r="B11" s="6" t="s">
        <v>402</v>
      </c>
      <c r="C11" s="5"/>
    </row>
    <row r="12" spans="1:6" ht="44.45" customHeight="1" x14ac:dyDescent="0.25">
      <c r="B12" s="5" t="s">
        <v>404</v>
      </c>
      <c r="C12" s="5"/>
    </row>
    <row r="14" spans="1:6" x14ac:dyDescent="0.25">
      <c r="A14" s="65" t="s">
        <v>406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60" t="s">
        <v>107</v>
      </c>
      <c r="F16" s="62"/>
    </row>
    <row r="17" spans="1:5" s="58" customFormat="1" x14ac:dyDescent="0.25">
      <c r="A17" s="4" t="s">
        <v>108</v>
      </c>
      <c r="B17" s="4" t="s">
        <v>105</v>
      </c>
      <c r="C17" s="4" t="s">
        <v>115</v>
      </c>
      <c r="D17" s="4" t="s">
        <v>93</v>
      </c>
      <c r="E17" s="4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8" t="s">
        <v>83</v>
      </c>
      <c r="B22" s="58" t="s">
        <v>85</v>
      </c>
      <c r="C22" s="58" t="s">
        <v>100</v>
      </c>
      <c r="D22" s="58" t="s">
        <v>87</v>
      </c>
      <c r="E22" s="58" t="s">
        <v>101</v>
      </c>
    </row>
  </sheetData>
  <dataValidations count="9">
    <dataValidation type="list" allowBlank="1" showInputMessage="1" showErrorMessage="1" sqref="C4" xr:uid="{00000000-0002-0000-0600-000000000000}">
      <formula1>"≤ 7 dias, &gt; 7 dias. Frequência recorrente (≥ 15 dias por mês, por mais de três meses). •  Duração de 4 a 72 horas, associado a outra características de alerta."</formula1>
    </dataValidation>
    <dataValidation type="list" allowBlank="1" showInputMessage="1" showErrorMessage="1" sqref="C5" xr:uid="{00000000-0002-0000-0600-000001000000}">
      <mc:AlternateContent xmlns:x12ac="http://schemas.microsoft.com/office/spreadsheetml/2011/1/ac" xmlns:mc="http://schemas.openxmlformats.org/markup-compatibility/2006">
        <mc:Choice Requires="x12ac">
          <x12ac:list>Dor bilateral em aperto. Aumento da sensibilidade pericraniana," Dor unilateral, geralmente ao redor dos olhos e da têmpora, profunda, contínua e explosiva de início abrupto"</x12ac:list>
        </mc:Choice>
        <mc:Fallback>
          <formula1>"Dor bilateral em aperto. Aumento da sensibilidade pericraniana, Dor unilateral, geralmente ao redor dos olhos e da têmpora, profunda, contínua e explosiva de início abrupto"</formula1>
        </mc:Fallback>
      </mc:AlternateContent>
    </dataValidation>
    <dataValidation type="list" allowBlank="1" showInputMessage="1" showErrorMessage="1" sqref="C6" xr:uid="{00000000-0002-0000-0600-000002000000}">
      <mc:AlternateContent xmlns:x12ac="http://schemas.microsoft.com/office/spreadsheetml/2011/1/ac" xmlns:mc="http://schemas.openxmlformats.org/markup-compatibility/2006">
        <mc:Choice Requires="x12ac">
          <x12ac:list>"Leve a moderada. Apesar de não incapacitar para a realizaçãodas atividades diárias, o paciente prefere o repouso", Moderada a grave. O sinal/sintoma incapacita para a realização das atividades diárias</x12ac:list>
        </mc:Choice>
        <mc:Fallback>
          <formula1>"Leve a moderada. Apesar de não incapacitar para a realizaçãodas atividades diárias, o paciente prefere o repouso, Moderada a grave. O sinal/sintoma incapacita para a realização das atividades diárias"</formula1>
        </mc:Fallback>
      </mc:AlternateContent>
    </dataValidation>
    <dataValidation type="list" allowBlank="1" showInputMessage="1" showErrorMessage="1" sqref="C7" xr:uid="{00000000-0002-0000-0600-000003000000}">
      <mc:AlternateContent xmlns:x12ac="http://schemas.microsoft.com/office/spreadsheetml/2011/1/ac" xmlns:mc="http://schemas.openxmlformats.org/markup-compatibility/2006">
        <mc:Choice Requires="x12ac">
          <x12ac:list>"Estresse, menstruação, mudanças climáticas, jejum, privação do sono e/ou alteração da rotina (ex: viagens)"," sintoma pode ocorrer nas mesmas situações existentes na dor de caráter autolimitado, porém está associada a outras características de alerta"</x12ac:list>
        </mc:Choice>
        <mc:Fallback>
          <formula1>"Estresse, menstruação, mudanças climáticas, jejum, privação do sono e/ou alteração da rotina (ex: viagens), sintoma pode ocorrer nas mesmas situações existentes na dor de caráter autolimitado, porém está associada a outras características de alerta"</formula1>
        </mc:Fallback>
      </mc:AlternateContent>
    </dataValidation>
    <dataValidation type="list" allowBlank="1" showInputMessage="1" showErrorMessage="1" sqref="C8" xr:uid="{00000000-0002-0000-0600-000004000000}">
      <mc:AlternateContent xmlns:x12ac="http://schemas.microsoft.com/office/spreadsheetml/2011/1/ac" xmlns:mc="http://schemas.openxmlformats.org/markup-compatibility/2006">
        <mc:Choice Requires="x12ac">
          <x12ac:list>Pode aliviar em ambiente escuro e silencioso," • O sinal/sintoma pode aliviar na mesma situação existente na dor de caráter autolimitado, porém está associada a outras características de alerta"</x12ac:list>
        </mc:Choice>
        <mc:Fallback>
          <formula1>"Pode aliviar em ambiente escuro e silencioso, • O sinal/sintoma pode aliviar na mesma situação existente na dor de caráter autolimitado, porém está associada a outras características de alerta"</formula1>
        </mc:Fallback>
      </mc:AlternateContent>
    </dataValidation>
    <dataValidation type="list" allowBlank="1" showInputMessage="1" showErrorMessage="1" sqref="C9" xr:uid="{00000000-0002-0000-0600-000005000000}">
      <mc:AlternateContent xmlns:x12ac="http://schemas.microsoft.com/office/spreadsheetml/2011/1/ac" xmlns:mc="http://schemas.openxmlformats.org/markup-compatibility/2006">
        <mc:Choice Requires="x12ac">
          <x12ac:list>Pode aliviar em ambiente escuro e silencioso," Febre, calafrio, sonolência, náuseas, vômitos, mialgias"</x12ac:list>
        </mc:Choice>
        <mc:Fallback>
          <formula1>"Pode aliviar em ambiente escuro e silencioso, Febre, calafrio, sonolência, náuseas, vômitos, mialgias"</formula1>
        </mc:Fallback>
      </mc:AlternateContent>
    </dataValidation>
    <dataValidation type="list" allowBlank="1" showInputMessage="1" showErrorMessage="1" sqref="C10" xr:uid="{00000000-0002-0000-06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&lt; 12 anos,  mulheres com mais de 20 semanas de gestação, idosos frágeis"</x12ac:list>
        </mc:Choice>
        <mc:Fallback>
          <formula1>"Sem características de alerta, Crianças &lt; 12 anos,  mulheres com mais de 20 semanas de gestação, idosos frágeis"</formula1>
        </mc:Fallback>
      </mc:AlternateContent>
    </dataValidation>
    <dataValidation type="list" allowBlank="1" showInputMessage="1" showErrorMessage="1" sqref="C11" xr:uid="{00000000-0002-0000-0600-00000700000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 sinal/sintoma," Dor de cabeça associada a condição clínica subjacente, como: hipertensão, sinusite, traumas, glaucoma, câncer, síndrome da apneia obstrutiva do sono, bruxismo e doença pulmonar obstrutiva crônica."</x12ac:list>
        </mc:Choice>
        <mc:Fallback>
          <formula1>"Nenhuma condição de saúde que predispõe o sinal/sintoma, Dor de cabeça associada a condição clínica subjacente, como: hipertensão, sinusite, traumas, glaucoma, câncer, síndrome da apneia obstrutiva do sono, bruxismo e doença pulmonar obstrutiva crônica."</formula1>
        </mc:Fallback>
      </mc:AlternateContent>
    </dataValidation>
    <dataValidation type="list" allowBlank="1" showInputMessage="1" showErrorMessage="1" sqref="C12" xr:uid="{00000000-0002-0000-0600-000008000000}">
      <formula1>"Sem histórico relevante , Suspeita de reação adversa a medicamentos"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Option Button 4">
              <controlPr defaultSize="0" autoFill="0" autoLine="0" autoPict="0" macro="[0]!GerarDiagnostico_DorDeCabeca">
                <anchor moveWithCells="1">
                  <from>
                    <xdr:col>2</xdr:col>
                    <xdr:colOff>180975</xdr:colOff>
                    <xdr:row>1</xdr:row>
                    <xdr:rowOff>180975</xdr:rowOff>
                  </from>
                  <to>
                    <xdr:col>2</xdr:col>
                    <xdr:colOff>1266825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2:F22"/>
  <sheetViews>
    <sheetView showGridLines="0" zoomScale="87" zoomScaleNormal="87" workbookViewId="0">
      <selection activeCell="D7" sqref="D7"/>
    </sheetView>
  </sheetViews>
  <sheetFormatPr defaultRowHeight="15" x14ac:dyDescent="0.25"/>
  <cols>
    <col min="1" max="1" width="17.42578125" customWidth="1"/>
    <col min="2" max="2" width="84.28515625" bestFit="1" customWidth="1"/>
    <col min="3" max="3" width="77.7109375" bestFit="1" customWidth="1"/>
    <col min="4" max="4" width="69.85546875" customWidth="1"/>
    <col min="5" max="5" width="88.42578125" bestFit="1" customWidth="1"/>
    <col min="6" max="6" width="52.7109375" customWidth="1"/>
  </cols>
  <sheetData>
    <row r="2" spans="1:6" ht="37.5" customHeight="1" x14ac:dyDescent="0.45">
      <c r="A2" t="e" vm="1">
        <v>#VALUE!</v>
      </c>
      <c r="B2" s="8" t="s">
        <v>416</v>
      </c>
    </row>
    <row r="4" spans="1:6" x14ac:dyDescent="0.25">
      <c r="B4" s="6" t="s">
        <v>388</v>
      </c>
      <c r="C4" s="5"/>
    </row>
    <row r="5" spans="1:6" x14ac:dyDescent="0.25">
      <c r="B5" s="6" t="s">
        <v>390</v>
      </c>
      <c r="C5" s="5"/>
    </row>
    <row r="6" spans="1:6" x14ac:dyDescent="0.25">
      <c r="B6" s="6" t="s">
        <v>392</v>
      </c>
      <c r="C6" s="5"/>
    </row>
    <row r="7" spans="1:6" x14ac:dyDescent="0.25">
      <c r="B7" s="6" t="s">
        <v>394</v>
      </c>
      <c r="C7" s="5"/>
    </row>
    <row r="8" spans="1:6" x14ac:dyDescent="0.25">
      <c r="B8" s="6" t="s">
        <v>396</v>
      </c>
      <c r="C8" s="5"/>
    </row>
    <row r="9" spans="1:6" x14ac:dyDescent="0.25">
      <c r="B9" s="6" t="s">
        <v>398</v>
      </c>
      <c r="C9" s="5"/>
    </row>
    <row r="10" spans="1:6" x14ac:dyDescent="0.25">
      <c r="B10" s="6" t="s">
        <v>400</v>
      </c>
      <c r="C10" s="5"/>
    </row>
    <row r="11" spans="1:6" x14ac:dyDescent="0.25">
      <c r="B11" s="6" t="s">
        <v>402</v>
      </c>
      <c r="C11" s="5"/>
    </row>
    <row r="12" spans="1:6" ht="42" customHeight="1" x14ac:dyDescent="0.25">
      <c r="B12" s="5" t="s">
        <v>404</v>
      </c>
      <c r="C12" s="5"/>
    </row>
    <row r="14" spans="1:6" x14ac:dyDescent="0.25">
      <c r="A14" s="65" t="s">
        <v>406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82" t="s">
        <v>81</v>
      </c>
      <c r="F15" s="63"/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59" t="s">
        <v>107</v>
      </c>
    </row>
    <row r="17" spans="1:5" s="58" customFormat="1" x14ac:dyDescent="0.25">
      <c r="A17" s="4" t="s">
        <v>108</v>
      </c>
      <c r="B17" s="4" t="s">
        <v>105</v>
      </c>
      <c r="C17" s="4" t="s">
        <v>115</v>
      </c>
      <c r="D17" s="4" t="s">
        <v>93</v>
      </c>
      <c r="E17" s="4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8" t="s">
        <v>83</v>
      </c>
      <c r="B22" s="58" t="s">
        <v>85</v>
      </c>
      <c r="C22" s="58" t="s">
        <v>100</v>
      </c>
      <c r="D22" s="58" t="s">
        <v>87</v>
      </c>
      <c r="E22" s="58" t="s">
        <v>101</v>
      </c>
    </row>
  </sheetData>
  <dataValidations count="9">
    <dataValidation type="list" allowBlank="1" showInputMessage="1" showErrorMessage="1" sqref="C4" xr:uid="{00000000-0002-0000-0700-000000000000}">
      <formula1>"≤7 dias. &lt; 2 vezes na semana, •  &gt; 7 dias com ou sem tratamento. •  2 vezes na semana. •  Azia noturna com duração superior a 3 meses."</formula1>
    </dataValidation>
    <dataValidation type="list" allowBlank="1" showInputMessage="1" showErrorMessage="1" sqref="C5" xr:uid="{00000000-0002-0000-0700-000001000000}">
      <formula1>"Sensação de queimação na área subesternal (abaixo do peito) que irradia em direção à garganta, causando gosto desagradável na boca. Sensação de plenitude pós prandial e distensão abdominal; • Dor e sensação de queimação no peito que irradia para o pescoço"</formula1>
    </dataValidation>
    <dataValidation type="list" allowBlank="1" showInputMessage="1" showErrorMessage="1" sqref="C6" xr:uid="{00000000-0002-0000-0700-000002000000}">
      <mc:AlternateContent xmlns:x12ac="http://schemas.microsoft.com/office/spreadsheetml/2011/1/ac" xmlns:mc="http://schemas.openxmlformats.org/markup-compatibility/2006">
        <mc:Choice Requires="x12ac">
          <x12ac:list>O sinal/sintoma não limita a realização das atividades diárias," O sinal/sintoma limita de modo intenso a realização das atividades diárias, a produção no trabalho, o sono e a qualidade de vida."</x12ac:list>
        </mc:Choice>
        <mc:Fallback>
          <formula1>"O sinal/sintoma não limita a realização das atividades diárias, O sinal/sintoma limita de modo intenso a realização das atividades diárias, a produção no trabalho, o sono e a qualidade de vida."</formula1>
        </mc:Fallback>
      </mc:AlternateContent>
    </dataValidation>
    <dataValidation type="list" allowBlank="1" showInputMessage="1" showErrorMessage="1" sqref="C7" xr:uid="{00000000-0002-0000-0700-000003000000}">
      <mc:AlternateContent xmlns:x12ac="http://schemas.microsoft.com/office/spreadsheetml/2011/1/ac" xmlns:mc="http://schemas.openxmlformats.org/markup-compatibility/2006">
        <mc:Choice Requires="x12ac">
          <x12ac:list>"O início do sinal/sintoma acontece em torno de 2h após a ingestão de alimentos, durante o exercício físico, na posição de decúbito ou durante a noite", O sinal/sintoma pode ocorrer nas mesmas situações presentes na azia de caráter autolimitado</x12ac:list>
        </mc:Choice>
        <mc:Fallback>
          <formula1>"O início do sinal/sintoma acontece em torno de 2h após a ingestão de alimentos, durante o exercício físico, na posição de decúbito ou durante a noite, O sinal/sintoma pode ocorrer nas mesmas situações presentes na azia de caráter autolimitado"</formula1>
        </mc:Fallback>
      </mc:AlternateContent>
    </dataValidation>
    <dataValidation type="list" allowBlank="1" showInputMessage="1" showErrorMessage="1" sqref="C8" xr:uid="{00000000-0002-0000-0700-000004000000}">
      <formula1>"O sinal/sintoma piora quando o paciente se deita ou se curva, ou ingere alimentos específicos (vide verso) ou ainda quando realiza refeições em grandes porções; O sinal/sintoma pode se agravar nas mesmas situações presentes na azia de caráter autolimitado"</formula1>
    </dataValidation>
    <dataValidation type="list" allowBlank="1" showInputMessage="1" showErrorMessage="1" sqref="C9" xr:uid="{00000000-0002-0000-0700-000005000000}">
      <mc:AlternateContent xmlns:x12ac="http://schemas.microsoft.com/office/spreadsheetml/2011/1/ac" xmlns:mc="http://schemas.openxmlformats.org/markup-compatibility/2006">
        <mc:Choice Requires="x12ac">
          <x12ac:list>Sem características de alerta," Dor epigástrica intensa, disfagia, odinofagia, sibilância, sensação de afogamento, sintomas brônquicos recorrentes (ex.: dispneia e febre), rouquidão, tosse recorrente, sinais de sangramento gastrointestinal"</x12ac:list>
        </mc:Choice>
        <mc:Fallback>
          <formula1>"Sem características de alerta, Dor epigástrica intensa, disfagia, odinofagia, sibilância, sensação de afogamento, sintomas brônquicos recorrentes (ex.: dispneia e febre), rouquidão, tosse recorrente, sinais de sangramento gastrointestinal"</formula1>
        </mc:Fallback>
      </mc:AlternateContent>
    </dataValidation>
    <dataValidation type="list" allowBlank="1" showInputMessage="1" showErrorMessage="1" sqref="C10" xr:uid="{00000000-0002-0000-07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Dor epigástrica intensa, disfagia, odinofagia, sibilância, sensação de afogamento, sintomas brônquicos recorrentes"</x12ac:list>
        </mc:Choice>
        <mc:Fallback>
          <formula1>"Sem características de alerta, Dor epigástrica intensa, disfagia, odinofagia, sibilância, sensação de afogamento, sintomas brônquicos recorrentes"</formula1>
        </mc:Fallback>
      </mc:AlternateContent>
    </dataValidation>
    <dataValidation type="list" allowBlank="1" showInputMessage="1" showErrorMessage="1" sqref="C11" xr:uid="{00000000-0002-0000-0700-000007000000}">
      <mc:AlternateContent xmlns:x12ac="http://schemas.microsoft.com/office/spreadsheetml/2011/1/ac" xmlns:mc="http://schemas.openxmlformats.org/markup-compatibility/2006">
        <mc:Choice Requires="x12ac">
          <x12ac:list>Sem características de alerta ," Crianças &lt; 4 anos,grávidas que não têm melhora depois do tratamento não farmacológico, idosos frageis"</x12ac:list>
        </mc:Choice>
        <mc:Fallback>
          <formula1>"Sem características de alerta , Crianças &lt; 4 anos,grávidas que não têm melhora depois do tratamento não farmacológico, idosos frageis"</formula1>
        </mc:Fallback>
      </mc:AlternateContent>
    </dataValidation>
    <dataValidation type="list" allowBlank="1" showInputMessage="1" showErrorMessage="1" sqref="C12" xr:uid="{00000000-0002-0000-0700-000008000000}">
      <mc:AlternateContent xmlns:x12ac="http://schemas.microsoft.com/office/spreadsheetml/2011/1/ac" xmlns:mc="http://schemas.openxmlformats.org/markup-compatibility/2006">
        <mc:Choice Requires="x12ac">
          <x12ac:list>Sem histórico relevante," Suspeita de reação adversa a medicamentos (ex: AINEs, ácido valproico, alendronato de sódio, anticoagulantes orais, corticosteroides, quetiapina, quinolonas, olanzapina, risperidona e sibutramina)."</x12ac:list>
        </mc:Choice>
        <mc:Fallback>
          <formula1>"Sem histórico relevante, Suspeita de reação adversa a medicamentos (ex: AINEs, ácido valproico, alendronato de sódio, anticoagulantes orais, corticosteroides, quetiapina, quinolonas, olanzapina, risperidona e sibutramina)."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Option Button 8">
              <controlPr defaultSize="0" autoFill="0" autoLine="0" autoPict="0" macro="[0]!GerarDiagnostico_Azia">
                <anchor moveWithCells="1">
                  <from>
                    <xdr:col>2</xdr:col>
                    <xdr:colOff>514350</xdr:colOff>
                    <xdr:row>1</xdr:row>
                    <xdr:rowOff>247650</xdr:rowOff>
                  </from>
                  <to>
                    <xdr:col>2</xdr:col>
                    <xdr:colOff>1581150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2:F21"/>
  <sheetViews>
    <sheetView showGridLines="0" tabSelected="1" topLeftCell="A2" zoomScale="81" zoomScaleNormal="81" workbookViewId="0">
      <selection activeCell="C12" sqref="C12"/>
    </sheetView>
  </sheetViews>
  <sheetFormatPr defaultRowHeight="15" x14ac:dyDescent="0.25"/>
  <cols>
    <col min="1" max="1" width="32.5703125" bestFit="1" customWidth="1"/>
    <col min="2" max="3" width="90.85546875" bestFit="1" customWidth="1"/>
    <col min="4" max="4" width="24" bestFit="1" customWidth="1"/>
    <col min="5" max="5" width="87.140625" bestFit="1" customWidth="1"/>
    <col min="6" max="6" width="42.7109375" customWidth="1"/>
  </cols>
  <sheetData>
    <row r="2" spans="1:6" ht="36.75" customHeight="1" x14ac:dyDescent="0.25">
      <c r="A2" t="e" vm="1">
        <v>#VALUE!</v>
      </c>
      <c r="B2" s="10" t="s">
        <v>417</v>
      </c>
    </row>
    <row r="4" spans="1:6" x14ac:dyDescent="0.25">
      <c r="B4" s="6" t="s">
        <v>388</v>
      </c>
      <c r="C4" s="5"/>
    </row>
    <row r="5" spans="1:6" x14ac:dyDescent="0.25">
      <c r="B5" s="6" t="s">
        <v>390</v>
      </c>
      <c r="C5" s="5"/>
    </row>
    <row r="6" spans="1:6" x14ac:dyDescent="0.25">
      <c r="B6" s="6" t="s">
        <v>392</v>
      </c>
      <c r="C6" s="5"/>
    </row>
    <row r="7" spans="1:6" x14ac:dyDescent="0.25">
      <c r="B7" s="6" t="s">
        <v>394</v>
      </c>
      <c r="C7" s="5"/>
    </row>
    <row r="8" spans="1:6" x14ac:dyDescent="0.25">
      <c r="B8" s="6" t="s">
        <v>396</v>
      </c>
      <c r="C8" s="5"/>
    </row>
    <row r="9" spans="1:6" x14ac:dyDescent="0.25">
      <c r="B9" s="6" t="s">
        <v>398</v>
      </c>
      <c r="C9" s="5"/>
    </row>
    <row r="10" spans="1:6" x14ac:dyDescent="0.25">
      <c r="B10" s="6" t="s">
        <v>400</v>
      </c>
      <c r="C10" s="5"/>
    </row>
    <row r="11" spans="1:6" x14ac:dyDescent="0.25">
      <c r="B11" s="6" t="s">
        <v>402</v>
      </c>
      <c r="C11" s="5"/>
    </row>
    <row r="12" spans="1:6" ht="45" customHeight="1" x14ac:dyDescent="0.25">
      <c r="B12" s="5" t="s">
        <v>404</v>
      </c>
      <c r="C12" s="5"/>
    </row>
    <row r="14" spans="1:6" x14ac:dyDescent="0.25">
      <c r="A14" s="65" t="s">
        <v>412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  <c r="F15" s="32"/>
    </row>
    <row r="16" spans="1:6" s="70" customFormat="1" x14ac:dyDescent="0.25">
      <c r="A16" s="67" t="s">
        <v>121</v>
      </c>
      <c r="B16" s="67" t="s">
        <v>105</v>
      </c>
      <c r="C16" s="67" t="s">
        <v>337</v>
      </c>
      <c r="D16" s="67" t="s">
        <v>119</v>
      </c>
      <c r="E16" s="68"/>
      <c r="F16" s="69"/>
    </row>
    <row r="17" spans="1:5" s="58" customFormat="1" x14ac:dyDescent="0.25">
      <c r="A17" s="4" t="s">
        <v>108</v>
      </c>
      <c r="B17" s="4" t="s">
        <v>105</v>
      </c>
      <c r="C17" s="4" t="s">
        <v>335</v>
      </c>
      <c r="D17" s="4" t="s">
        <v>381</v>
      </c>
      <c r="E17" s="4" t="s">
        <v>382</v>
      </c>
    </row>
    <row r="18" spans="1:5" s="58" customFormat="1" x14ac:dyDescent="0.25">
      <c r="A18" s="4" t="s">
        <v>103</v>
      </c>
      <c r="B18" s="4" t="s">
        <v>105</v>
      </c>
      <c r="C18" s="4" t="s">
        <v>332</v>
      </c>
      <c r="D18" s="4" t="s">
        <v>379</v>
      </c>
      <c r="E18" s="4" t="s">
        <v>380</v>
      </c>
    </row>
    <row r="19" spans="1:5" s="58" customFormat="1" x14ac:dyDescent="0.25">
      <c r="A19" s="57" t="s">
        <v>83</v>
      </c>
      <c r="B19" s="57" t="s">
        <v>85</v>
      </c>
      <c r="C19" s="57" t="s">
        <v>326</v>
      </c>
      <c r="D19" s="57" t="s">
        <v>85</v>
      </c>
      <c r="E19" s="57" t="s">
        <v>376</v>
      </c>
    </row>
    <row r="20" spans="1:5" s="58" customFormat="1" x14ac:dyDescent="0.25">
      <c r="A20" s="57" t="s">
        <v>83</v>
      </c>
      <c r="B20" s="57" t="s">
        <v>85</v>
      </c>
      <c r="C20" s="57" t="s">
        <v>328</v>
      </c>
      <c r="D20" s="57" t="s">
        <v>85</v>
      </c>
      <c r="E20" s="57" t="s">
        <v>377</v>
      </c>
    </row>
    <row r="21" spans="1:5" s="58" customFormat="1" x14ac:dyDescent="0.25">
      <c r="A21" s="57" t="s">
        <v>83</v>
      </c>
      <c r="B21" s="57" t="s">
        <v>85</v>
      </c>
      <c r="C21" s="57" t="s">
        <v>330</v>
      </c>
      <c r="D21" s="57" t="s">
        <v>85</v>
      </c>
      <c r="E21" s="57" t="s">
        <v>378</v>
      </c>
    </row>
  </sheetData>
  <dataValidations count="8">
    <dataValidation type="list" allowBlank="1" showInputMessage="1" showErrorMessage="1" sqref="C4" xr:uid="{00000000-0002-0000-0800-000000000000}">
      <formula1>"≤ 7 dias,   &gt; 7 dias."</formula1>
    </dataValidation>
    <dataValidation type="list" allowBlank="1" showInputMessage="1" showErrorMessage="1" sqref="C5" xr:uid="{00000000-0002-0000-0800-000001000000}">
      <mc:AlternateContent xmlns:x12ac="http://schemas.microsoft.com/office/spreadsheetml/2011/1/ac" xmlns:mc="http://schemas.openxmlformats.org/markup-compatibility/2006">
        <mc:Choice Requires="x12ac">
          <x12ac:list>• Eritema na região exposta à luz solar que desaparece na digitopressão. • Dor leve a moderada na região exposta à luz solar. • Sensibilidade ao calor. • Pele íntegra," • Presença de bolhas, vesículas e/ou sangramento"</x12ac:list>
        </mc:Choice>
        <mc:Fallback>
          <formula1>"• Eritema na região exposta à luz solar que desaparece na digitopressão. • Dor leve a moderada na região exposta à luz solar. • Sensibilidade ao calor. • Pele íntegra, • Presença de bolhas, vesículas e/ou sangramento"</formula1>
        </mc:Fallback>
      </mc:AlternateContent>
    </dataValidation>
    <dataValidation type="list" allowBlank="1" showInputMessage="1" showErrorMessage="1" sqref="C6" xr:uid="{00000000-0002-0000-0800-000002000000}">
      <mc:AlternateContent xmlns:x12ac="http://schemas.microsoft.com/office/spreadsheetml/2011/1/ac" xmlns:mc="http://schemas.openxmlformats.org/markup-compatibility/2006">
        <mc:Choice Requires="x12ac">
          <x12ac:list>"Leve a moderada. Apesar de não incapacitar para a realização das atividades diárias, o paciente prefere o repouso", Sinais/sintomas graves. O sinal/sintoma incapacita para a realização das atividades diárias</x12ac:list>
        </mc:Choice>
        <mc:Fallback>
          <formula1>"Leve a moderada. Apesar de não incapacitar para a realização das atividades diárias, o paciente prefere o repouso, Sinais/sintomas graves. O sinal/sintoma incapacita para a realização das atividades diárias"</formula1>
        </mc:Fallback>
      </mc:AlternateContent>
    </dataValidation>
    <dataValidation type="list" allowBlank="1" showInputMessage="1" showErrorMessage="1" sqref="C7" xr:uid="{00000000-0002-0000-0800-000003000000}">
      <mc:AlternateContent xmlns:x12ac="http://schemas.microsoft.com/office/spreadsheetml/2011/1/ac" xmlns:mc="http://schemas.openxmlformats.org/markup-compatibility/2006">
        <mc:Choice Requires="x12ac">
          <x12ac:list>"Após relato de exposição solar, com ou sem uso de protetor solar"," Sem nenhum alívio, mesmo quando a pele é lavada em água fria corrente."</x12ac:list>
        </mc:Choice>
        <mc:Fallback>
          <formula1>"Após relato de exposição solar, com ou sem uso de protetor solar, Sem nenhum alívio, mesmo quando a pele é lavada em água fria corrente."</formula1>
        </mc:Fallback>
      </mc:AlternateContent>
    </dataValidation>
    <dataValidation type="list" allowBlank="1" showInputMessage="1" showErrorMessage="1" sqref="C8" xr:uid="{00000000-0002-0000-0800-000004000000}">
      <mc:AlternateContent xmlns:x12ac="http://schemas.microsoft.com/office/spreadsheetml/2011/1/ac" xmlns:mc="http://schemas.openxmlformats.org/markup-compatibility/2006">
        <mc:Choice Requires="x12ac">
          <x12ac:list>Dor de cabeça leve," Dor de cabeça intensa, febre, sinais/sintomas de desidratação (olhos fundos, tontura, boca seca, sede e redução da diurese), náuseas e/ou vômitos."</x12ac:list>
        </mc:Choice>
        <mc:Fallback>
          <formula1>"Dor de cabeça leve, Dor de cabeça intensa, febre, sinais/sintomas de desidratação (olhos fundos, tontura, boca seca, sede e redução da diurese), náuseas e/ou vômitos."</formula1>
        </mc:Fallback>
      </mc:AlternateContent>
    </dataValidation>
    <dataValidation type="list" allowBlank="1" showInputMessage="1" showErrorMessage="1" sqref="C9:C10" xr:uid="{00000000-0002-0000-0800-000005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&lt; 2 anos e idosos frágeis (dependência nas atividades de vida diária e nas atividades instrumentais de vida diária, vulnerabilidade aos estresses ambientais, às doenças e às quedas)."</x12ac:list>
        </mc:Choice>
        <mc:Fallback>
          <formula1>"Sem características de alerta, Crianças &lt; 2 anos e idosos frágeis (dependência nas atividades de vida diária e nas atividades instrumentais de vida diária, vulnerabilidade aos estresses ambientais, às doenças e às quedas)."</formula1>
        </mc:Fallback>
      </mc:AlternateContent>
    </dataValidation>
    <dataValidation type="list" allowBlank="1" showInputMessage="1" showErrorMessage="1" sqref="C11" xr:uid="{00000000-0002-0000-0800-000007000000}">
      <formula1>"Nenhuma condição de saúde que predispõe ao sinal/sintoma, Histórico de lúpus eritematoso sistêmico ou vitiligo."</formula1>
    </dataValidation>
    <dataValidation type="list" allowBlank="1" showInputMessage="1" showErrorMessage="1" sqref="C12" xr:uid="{00000000-0002-0000-0800-000008000000}">
      <mc:AlternateContent xmlns:x12ac="http://schemas.microsoft.com/office/spreadsheetml/2011/1/ac" xmlns:mc="http://schemas.openxmlformats.org/markup-compatibility/2006">
        <mc:Choice Requires="x12ac">
          <x12ac:list>Sem histórico relevante," Tratamento com analgésicos, AINEs e/ou loções para queimadura com falha terapêutica ou aparecimento de reações adversas"</x12ac:list>
        </mc:Choice>
        <mc:Fallback>
          <formula1>"Sem histórico relevante, Tratamento com analgésicos, AINEs e/ou loções para queimadura com falha terapêutica ou aparecimento de reações adversas"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Option Button 7">
              <controlPr defaultSize="0" autoFill="0" autoLine="0" autoPict="0" macro="[0]!GerarDiagnostico_QueimaduraSolar">
                <anchor moveWithCells="1">
                  <from>
                    <xdr:col>2</xdr:col>
                    <xdr:colOff>504825</xdr:colOff>
                    <xdr:row>1</xdr:row>
                    <xdr:rowOff>171450</xdr:rowOff>
                  </from>
                  <to>
                    <xdr:col>2</xdr:col>
                    <xdr:colOff>1571625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2:F21"/>
  <sheetViews>
    <sheetView showGridLines="0" zoomScale="87" zoomScaleNormal="87" workbookViewId="0">
      <selection activeCell="B2" sqref="B2"/>
    </sheetView>
  </sheetViews>
  <sheetFormatPr defaultRowHeight="15" x14ac:dyDescent="0.25"/>
  <cols>
    <col min="1" max="1" width="17.7109375" customWidth="1"/>
    <col min="2" max="2" width="84.28515625" bestFit="1" customWidth="1"/>
    <col min="3" max="3" width="77.7109375" bestFit="1" customWidth="1"/>
    <col min="4" max="4" width="25.85546875" bestFit="1" customWidth="1"/>
    <col min="5" max="5" width="88.42578125" bestFit="1" customWidth="1"/>
    <col min="6" max="6" width="42.85546875" customWidth="1"/>
  </cols>
  <sheetData>
    <row r="2" spans="1:6" ht="40.5" customHeight="1" x14ac:dyDescent="0.25">
      <c r="A2" t="e" vm="1">
        <v>#VALUE!</v>
      </c>
      <c r="B2" s="11" t="s">
        <v>418</v>
      </c>
    </row>
    <row r="4" spans="1:6" x14ac:dyDescent="0.25">
      <c r="B4" s="6" t="s">
        <v>388</v>
      </c>
      <c r="C4" s="5"/>
      <c r="D4" s="83"/>
    </row>
    <row r="5" spans="1:6" x14ac:dyDescent="0.25">
      <c r="B5" s="6" t="s">
        <v>390</v>
      </c>
      <c r="C5" s="5"/>
      <c r="D5" s="83"/>
    </row>
    <row r="6" spans="1:6" x14ac:dyDescent="0.25">
      <c r="B6" s="6" t="s">
        <v>392</v>
      </c>
      <c r="C6" s="5"/>
      <c r="D6" s="83"/>
    </row>
    <row r="7" spans="1:6" x14ac:dyDescent="0.25">
      <c r="B7" s="6" t="s">
        <v>394</v>
      </c>
      <c r="C7" s="5"/>
      <c r="D7" s="83"/>
    </row>
    <row r="8" spans="1:6" x14ac:dyDescent="0.25">
      <c r="B8" s="6" t="s">
        <v>396</v>
      </c>
      <c r="C8" s="5"/>
      <c r="D8" s="83"/>
    </row>
    <row r="9" spans="1:6" x14ac:dyDescent="0.25">
      <c r="B9" s="6" t="s">
        <v>398</v>
      </c>
      <c r="C9" s="5"/>
      <c r="D9" s="83"/>
    </row>
    <row r="10" spans="1:6" x14ac:dyDescent="0.25">
      <c r="B10" s="6" t="s">
        <v>400</v>
      </c>
      <c r="C10" s="5"/>
      <c r="D10" s="83"/>
    </row>
    <row r="11" spans="1:6" x14ac:dyDescent="0.25">
      <c r="B11" s="6" t="s">
        <v>402</v>
      </c>
      <c r="C11" s="5"/>
      <c r="D11" s="83"/>
    </row>
    <row r="12" spans="1:6" ht="51.75" customHeight="1" x14ac:dyDescent="0.25">
      <c r="B12" s="5" t="s">
        <v>404</v>
      </c>
      <c r="C12" s="5"/>
      <c r="D12" s="83"/>
    </row>
    <row r="14" spans="1:6" x14ac:dyDescent="0.25">
      <c r="A14" s="65" t="s">
        <v>406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</row>
    <row r="16" spans="1:6" s="61" customFormat="1" ht="14.45" customHeight="1" x14ac:dyDescent="0.25">
      <c r="A16" s="59" t="s">
        <v>103</v>
      </c>
      <c r="B16" s="59" t="s">
        <v>85</v>
      </c>
      <c r="C16" s="59" t="s">
        <v>346</v>
      </c>
      <c r="D16" s="59" t="s">
        <v>347</v>
      </c>
      <c r="E16" s="60"/>
      <c r="F16" s="62"/>
    </row>
    <row r="17" spans="1:5" s="58" customFormat="1" x14ac:dyDescent="0.25">
      <c r="A17" s="57" t="s">
        <v>83</v>
      </c>
      <c r="B17" s="57" t="s">
        <v>85</v>
      </c>
      <c r="C17" s="57" t="s">
        <v>326</v>
      </c>
      <c r="D17" s="57" t="s">
        <v>85</v>
      </c>
      <c r="E17" s="57" t="s">
        <v>376</v>
      </c>
    </row>
    <row r="18" spans="1:5" s="58" customFormat="1" x14ac:dyDescent="0.25">
      <c r="A18" s="57" t="s">
        <v>83</v>
      </c>
      <c r="B18" s="57" t="s">
        <v>85</v>
      </c>
      <c r="C18" s="57" t="s">
        <v>328</v>
      </c>
      <c r="D18" s="57" t="s">
        <v>85</v>
      </c>
      <c r="E18" s="57" t="s">
        <v>377</v>
      </c>
    </row>
    <row r="19" spans="1:5" s="58" customFormat="1" x14ac:dyDescent="0.25">
      <c r="A19" s="57" t="s">
        <v>83</v>
      </c>
      <c r="B19" s="57" t="s">
        <v>85</v>
      </c>
      <c r="C19" s="57" t="s">
        <v>330</v>
      </c>
      <c r="D19" s="57" t="s">
        <v>85</v>
      </c>
      <c r="E19" s="57" t="s">
        <v>378</v>
      </c>
    </row>
    <row r="20" spans="1:5" s="58" customFormat="1" x14ac:dyDescent="0.25">
      <c r="A20" s="4"/>
      <c r="B20" s="4"/>
      <c r="C20" s="4"/>
      <c r="D20" s="4"/>
      <c r="E20" s="4"/>
    </row>
    <row r="21" spans="1:5" s="58" customFormat="1" x14ac:dyDescent="0.25">
      <c r="A21" s="4"/>
      <c r="B21" s="4"/>
      <c r="C21" s="4"/>
      <c r="D21" s="4"/>
      <c r="E21" s="4"/>
    </row>
  </sheetData>
  <dataValidations count="9">
    <dataValidation type="list" allowBlank="1" showInputMessage="1" showErrorMessage="1" sqref="C4" xr:uid="{00000000-0002-0000-0900-000000000000}">
      <formula1>"Até 2 semanas, Constipação persistente (mais de 2 semanas). • Constipação recorrente (mais de 1 episódio no intervalo de 3 meses)"</formula1>
    </dataValidation>
    <dataValidation type="list" allowBlank="1" showInputMessage="1" showErrorMessage="1" sqref="C5" xr:uid="{00000000-0002-0000-0900-000001000000}">
      <mc:AlternateContent xmlns:x12ac="http://schemas.microsoft.com/office/spreadsheetml/2011/1/ac" xmlns:mc="http://schemas.openxmlformats.org/markup-compatibility/2006">
        <mc:Choice Requires="x12ac">
          <x12ac:list>"Mudança no padrão regular do hábito intestinal, com diminuição na frequência (intervalos prolongados entre uma defecação e outra - em geral 3 dias). Sensação de defecação incompleta. Fezes duras, pequenas ou secas"," Fezes finas (como lápis), com sangue"</x12ac:list>
        </mc:Choice>
        <mc:Fallback>
          <formula1>"Mudança no padrão regular do hábito intestinal, com diminuição na frequência (intervalos prolongados entre uma defecação e outra - em geral 3 dias). Sensação de defecação incompleta. Fezes duras, pequenas ou secas, Fezes finas (como lápis), com sangue"</formula1>
        </mc:Fallback>
      </mc:AlternateContent>
    </dataValidation>
    <dataValidation type="list" allowBlank="1" showInputMessage="1" showErrorMessage="1" sqref="C6" xr:uid="{00000000-0002-0000-0900-000002000000}">
      <formula1>"Sem dor abdominal ou dor leve. Paciente NÃO está incapacitado para realizar atividades diárias,  Dor abdominal intensa. O sinal/sintoma compromete a realização de atividades diárias."</formula1>
    </dataValidation>
    <dataValidation type="list" allowBlank="1" showInputMessage="1" showErrorMessage="1" sqref="C7" xr:uid="{00000000-0002-0000-0900-000003000000}">
      <mc:AlternateContent xmlns:x12ac="http://schemas.microsoft.com/office/spreadsheetml/2011/1/ac" xmlns:mc="http://schemas.openxmlformats.org/markup-compatibility/2006">
        <mc:Choice Requires="x12ac">
          <x12ac:list>Estresse e/ou alterações de rotina," O sinal/sintoma pode ocorrer nas mesmas situações existentes na condição de caráter autolimitado, porém está associado a outras características de alerta."</x12ac:list>
        </mc:Choice>
        <mc:Fallback>
          <formula1>"Estresse e/ou alterações de rotina, O sinal/sintoma pode ocorrer nas mesmas situações existentes na condição de caráter autolimitado, porém está associado a outras características de alerta."</formula1>
        </mc:Fallback>
      </mc:AlternateContent>
    </dataValidation>
    <dataValidation type="list" allowBlank="1" showInputMessage="1" showErrorMessage="1" sqref="C8" xr:uid="{00000000-0002-0000-0900-000004000000}">
      <mc:AlternateContent xmlns:x12ac="http://schemas.microsoft.com/office/spreadsheetml/2011/1/ac" xmlns:mc="http://schemas.openxmlformats.org/markup-compatibility/2006">
        <mc:Choice Requires="x12ac">
          <x12ac:list xml:space="preserve">"Alimentação irregular e constipante, redução da ingestão alimentar (por opção) e consumo de água insuficiente podem agravar o sinal/sintoma", Pacientes que apresentam constipação em resposta a alimentos específicos </x12ac:list>
        </mc:Choice>
        <mc:Fallback>
          <formula1>"Alimentação irregular e constipante, redução da ingestão alimentar (por opção) e consumo de água insuficiente podem agravar o sinal/sintoma, Pacientes que apresentam constipação em resposta a alimentos específicos "</formula1>
        </mc:Fallback>
      </mc:AlternateContent>
    </dataValidation>
    <dataValidation type="list" allowBlank="1" showInputMessage="1" showErrorMessage="1" sqref="C9" xr:uid="{00000000-0002-0000-0900-000005000000}">
      <mc:AlternateContent xmlns:x12ac="http://schemas.microsoft.com/office/spreadsheetml/2011/1/ac" xmlns:mc="http://schemas.openxmlformats.org/markup-compatibility/2006">
        <mc:Choice Requires="x12ac">
          <x12ac:list>Sensação de plenitude gástrica e/ou dor suportável na passagem das fezes," • Diarreia alternada com constipação, perda de peso involuntária e/ou febre."</x12ac:list>
        </mc:Choice>
        <mc:Fallback>
          <formula1>"Sensação de plenitude gástrica e/ou dor suportável na passagem das fezes, • Diarreia alternada com constipação, perda de peso involuntária e/ou febre."</formula1>
        </mc:Fallback>
      </mc:AlternateContent>
    </dataValidation>
    <dataValidation type="list" allowBlank="1" showInputMessage="1" showErrorMessage="1" sqref="C10" xr:uid="{00000000-0002-0000-09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(≤ 6 anos), gestantes ou lactantes, idosos frageis"</x12ac:list>
        </mc:Choice>
        <mc:Fallback>
          <formula1>"Sem características de alerta, Crianças (≤ 6 anos), gestantes ou lactantes, idosos frageis"</formula1>
        </mc:Fallback>
      </mc:AlternateContent>
    </dataValidation>
    <dataValidation type="list" allowBlank="1" showInputMessage="1" showErrorMessage="1" sqref="C11" xr:uid="{00000000-0002-0000-0900-00000700000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ou agrava o sinal/sintoma,"  Doença inflamatória intestinal, síndrome do intestino irritável não responsivo ao tratamento, hemorroidas com sangramento abundante."</x12ac:list>
        </mc:Choice>
        <mc:Fallback>
          <formula1>"Nenhuma condição de saúde que predispõe ou agrava o sinal/sintoma,  Doença inflamatória intestinal, síndrome do intestino irritável não responsivo ao tratamento, hemorroidas com sangramento abundante."</formula1>
        </mc:Fallback>
      </mc:AlternateContent>
    </dataValidation>
    <dataValidation type="list" allowBlank="1" showInputMessage="1" showErrorMessage="1" sqref="C12" xr:uid="{00000000-0002-0000-0900-000008000000}">
      <formula1>"Medicamentos com potencial de indução de constipação. Uso crônico de laxantes por automedicação, Sinais/sintomas persistentes que não respondem ao tratamento com laxantes"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Option Button 1">
              <controlPr defaultSize="0" autoFill="0" autoLine="0" autoPict="0" macro="[0]!GerarDiagnostico_Constipacao">
                <anchor moveWithCells="1">
                  <from>
                    <xdr:col>3</xdr:col>
                    <xdr:colOff>438150</xdr:colOff>
                    <xdr:row>1</xdr:row>
                    <xdr:rowOff>361950</xdr:rowOff>
                  </from>
                  <to>
                    <xdr:col>3</xdr:col>
                    <xdr:colOff>1504950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2:F21"/>
  <sheetViews>
    <sheetView showGridLines="0" workbookViewId="0">
      <selection activeCell="D4" sqref="D4:D12"/>
    </sheetView>
  </sheetViews>
  <sheetFormatPr defaultRowHeight="15" x14ac:dyDescent="0.25"/>
  <cols>
    <col min="1" max="1" width="17.7109375" customWidth="1"/>
    <col min="2" max="2" width="10.140625" bestFit="1" customWidth="1"/>
    <col min="3" max="3" width="82.42578125" bestFit="1" customWidth="1"/>
    <col min="4" max="4" width="83.28515625" customWidth="1"/>
    <col min="5" max="5" width="80.5703125" bestFit="1" customWidth="1"/>
    <col min="6" max="6" width="47.28515625" customWidth="1"/>
  </cols>
  <sheetData>
    <row r="2" spans="1:6" ht="27" customHeight="1" x14ac:dyDescent="0.25">
      <c r="B2" t="e" vm="1">
        <v>#VALUE!</v>
      </c>
      <c r="C2" s="12" t="s">
        <v>419</v>
      </c>
    </row>
    <row r="4" spans="1:6" x14ac:dyDescent="0.25">
      <c r="C4" s="6" t="s">
        <v>388</v>
      </c>
      <c r="D4" s="5" t="s">
        <v>420</v>
      </c>
    </row>
    <row r="5" spans="1:6" ht="18.75" customHeight="1" x14ac:dyDescent="0.25">
      <c r="C5" s="6" t="s">
        <v>390</v>
      </c>
      <c r="D5" s="5" t="s">
        <v>421</v>
      </c>
    </row>
    <row r="6" spans="1:6" ht="30.75" customHeight="1" x14ac:dyDescent="0.25">
      <c r="C6" s="6" t="s">
        <v>392</v>
      </c>
      <c r="D6" s="5" t="s">
        <v>422</v>
      </c>
    </row>
    <row r="7" spans="1:6" ht="19.5" customHeight="1" x14ac:dyDescent="0.25">
      <c r="C7" s="6" t="s">
        <v>394</v>
      </c>
      <c r="D7" s="5" t="s">
        <v>423</v>
      </c>
    </row>
    <row r="8" spans="1:6" ht="38.25" customHeight="1" x14ac:dyDescent="0.25">
      <c r="C8" s="6" t="s">
        <v>396</v>
      </c>
      <c r="D8" s="5" t="s">
        <v>424</v>
      </c>
    </row>
    <row r="9" spans="1:6" ht="19.5" customHeight="1" x14ac:dyDescent="0.25">
      <c r="C9" s="6" t="s">
        <v>398</v>
      </c>
      <c r="D9" s="5" t="s">
        <v>425</v>
      </c>
    </row>
    <row r="10" spans="1:6" ht="16.5" customHeight="1" x14ac:dyDescent="0.25">
      <c r="C10" s="6" t="s">
        <v>400</v>
      </c>
      <c r="D10" s="5" t="s">
        <v>401</v>
      </c>
    </row>
    <row r="11" spans="1:6" ht="18.75" customHeight="1" x14ac:dyDescent="0.25">
      <c r="C11" s="6" t="s">
        <v>402</v>
      </c>
      <c r="D11" s="5" t="s">
        <v>426</v>
      </c>
    </row>
    <row r="12" spans="1:6" ht="43.5" customHeight="1" x14ac:dyDescent="0.25">
      <c r="C12" s="5" t="s">
        <v>404</v>
      </c>
      <c r="D12" s="5" t="s">
        <v>405</v>
      </c>
    </row>
    <row r="14" spans="1:6" x14ac:dyDescent="0.25">
      <c r="A14" s="65" t="s">
        <v>412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</row>
    <row r="16" spans="1:6" s="70" customFormat="1" x14ac:dyDescent="0.25">
      <c r="A16" s="71" t="s">
        <v>121</v>
      </c>
      <c r="B16" s="67" t="s">
        <v>105</v>
      </c>
      <c r="C16" s="67" t="s">
        <v>337</v>
      </c>
      <c r="D16" s="67" t="s">
        <v>119</v>
      </c>
      <c r="E16" s="68" t="s">
        <v>383</v>
      </c>
      <c r="F16" s="69"/>
    </row>
    <row r="17" spans="1:5" s="58" customFormat="1" x14ac:dyDescent="0.25">
      <c r="A17" s="72" t="s">
        <v>108</v>
      </c>
      <c r="B17" s="4" t="s">
        <v>105</v>
      </c>
      <c r="C17" s="4" t="s">
        <v>335</v>
      </c>
      <c r="D17" s="4" t="s">
        <v>381</v>
      </c>
      <c r="E17" s="4" t="s">
        <v>382</v>
      </c>
    </row>
    <row r="18" spans="1:5" s="58" customFormat="1" x14ac:dyDescent="0.25">
      <c r="A18" s="72" t="s">
        <v>103</v>
      </c>
      <c r="B18" s="4" t="s">
        <v>105</v>
      </c>
      <c r="C18" s="4" t="s">
        <v>332</v>
      </c>
      <c r="D18" s="4" t="s">
        <v>379</v>
      </c>
      <c r="E18" s="4" t="s">
        <v>380</v>
      </c>
    </row>
    <row r="19" spans="1:5" s="58" customFormat="1" x14ac:dyDescent="0.25">
      <c r="A19" s="73" t="s">
        <v>83</v>
      </c>
      <c r="B19" s="57" t="s">
        <v>85</v>
      </c>
      <c r="C19" s="57" t="s">
        <v>326</v>
      </c>
      <c r="D19" s="57" t="s">
        <v>85</v>
      </c>
      <c r="E19" s="57" t="s">
        <v>376</v>
      </c>
    </row>
    <row r="20" spans="1:5" s="58" customFormat="1" x14ac:dyDescent="0.25">
      <c r="A20" s="58" t="s">
        <v>83</v>
      </c>
      <c r="B20" s="57" t="s">
        <v>85</v>
      </c>
      <c r="C20" s="57" t="s">
        <v>328</v>
      </c>
      <c r="D20" s="57" t="s">
        <v>85</v>
      </c>
      <c r="E20" s="57" t="s">
        <v>377</v>
      </c>
    </row>
    <row r="21" spans="1:5" s="58" customFormat="1" x14ac:dyDescent="0.25">
      <c r="A21" s="58" t="s">
        <v>83</v>
      </c>
      <c r="B21" s="57" t="s">
        <v>85</v>
      </c>
      <c r="C21" s="57" t="s">
        <v>330</v>
      </c>
      <c r="D21" s="57" t="s">
        <v>85</v>
      </c>
      <c r="E21" s="57" t="s">
        <v>378</v>
      </c>
    </row>
  </sheetData>
  <dataValidations count="9">
    <dataValidation type="list" allowBlank="1" showInputMessage="1" showErrorMessage="1" sqref="D4" xr:uid="{00000000-0002-0000-0A00-000000000000}">
      <formula1>"7-10 dias, &gt;10 dias."</formula1>
    </dataValidation>
    <dataValidation type="list" allowBlank="1" showInputMessage="1" showErrorMessage="1" sqref="D5" xr:uid="{00000000-0002-0000-0A00-000001000000}">
      <mc:AlternateContent xmlns:x12ac="http://schemas.microsoft.com/office/spreadsheetml/2011/1/ac" xmlns:mc="http://schemas.openxmlformats.org/markup-compatibility/2006">
        <mc:Choice Requires="x12ac">
          <x12ac:list>"Sangramento, prurido anal, prolapso reversível (que retorna espontaneamente) e/ou dor"," • Sangramento abundante. Incontinência fecal leve e com secreção de muco. Prolapso importante, que necessita de manejo clínico ou manobras manuais para o retorno. "</x12ac:list>
        </mc:Choice>
        <mc:Fallback>
          <formula1>"Sangramento, prurido anal, prolapso reversível (que retorna espontaneamente) e/ou dor, • Sangramento abundante. Incontinência fecal leve e com secreção de muco. Prolapso importante, que necessita de manejo clínico ou manobras manuais para o retorno. "</formula1>
        </mc:Fallback>
      </mc:AlternateContent>
    </dataValidation>
    <dataValidation type="list" allowBlank="1" showInputMessage="1" showErrorMessage="1" sqref="D6" xr:uid="{00000000-0002-0000-0A00-000002000000}">
      <mc:AlternateContent xmlns:x12ac="http://schemas.microsoft.com/office/spreadsheetml/2011/1/ac" xmlns:mc="http://schemas.openxmlformats.org/markup-compatibility/2006">
        <mc:Choice Requires="x12ac">
          <x12ac:list>"Dor leve a moderada. Sangramento tipicamente vermelho vivo, que cobre as fezes no final da defecação ou que pinga no vaso sanitário", Dor Intensa. Sangramento agravado por esforço. Sangramento vermelho escuro.</x12ac:list>
        </mc:Choice>
        <mc:Fallback>
          <formula1>"Dor leve a moderada. Sangramento tipicamente vermelho vivo, que cobre as fezes no final da defecação ou que pinga no vaso sanitário, Dor Intensa. Sangramento agravado por esforço. Sangramento vermelho escuro."</formula1>
        </mc:Fallback>
      </mc:AlternateContent>
    </dataValidation>
    <dataValidation type="list" allowBlank="1" showInputMessage="1" showErrorMessage="1" sqref="D7" xr:uid="{00000000-0002-0000-0A00-000003000000}">
      <mc:AlternateContent xmlns:x12ac="http://schemas.microsoft.com/office/spreadsheetml/2011/1/ac" xmlns:mc="http://schemas.openxmlformats.org/markup-compatibility/2006">
        <mc:Choice Requires="x12ac">
          <x12ac:list>Sinais e sintomas proeminentes durante a evacuação. Alterações de rotina," O sinal/sintoma pode se agravar nas mesmas situações reportadas nas de caráter autolimitado, porém está associado a outras características de alerta."</x12ac:list>
        </mc:Choice>
        <mc:Fallback>
          <formula1>"Sinais e sintomas proeminentes durante a evacuação. Alterações de rotina, O sinal/sintoma pode se agravar nas mesmas situações reportadas nas de caráter autolimitado, porém está associado a outras características de alerta."</formula1>
        </mc:Fallback>
      </mc:AlternateContent>
    </dataValidation>
    <dataValidation type="list" allowBlank="1" showInputMessage="1" showErrorMessage="1" sqref="D8" xr:uid="{00000000-0002-0000-0A00-000004000000}">
      <mc:AlternateContent xmlns:x12ac="http://schemas.microsoft.com/office/spreadsheetml/2011/1/ac" xmlns:mc="http://schemas.openxmlformats.org/markup-compatibility/2006">
        <mc:Choice Requires="x12ac">
          <x12ac:list>"Alimentação irregular e constipante, redução da ingestão alimentar (por opção) e consumo de água insuficiente podem agravar o sinal/sintoma", Sintomas sugestivos de malignidade</x12ac:list>
        </mc:Choice>
        <mc:Fallback>
          <formula1>"Alimentação irregular e constipante, redução da ingestão alimentar (por opção) e consumo de água insuficiente podem agravar o sinal/sintoma, Sintomas sugestivos de malignidade"</formula1>
        </mc:Fallback>
      </mc:AlternateContent>
    </dataValidation>
    <dataValidation type="list" allowBlank="1" showInputMessage="1" showErrorMessage="1" sqref="D9" xr:uid="{00000000-0002-0000-0A00-000005000000}">
      <mc:AlternateContent xmlns:x12ac="http://schemas.microsoft.com/office/spreadsheetml/2011/1/ac" xmlns:mc="http://schemas.openxmlformats.org/markup-compatibility/2006">
        <mc:Choice Requires="x12ac">
          <x12ac:list>Paciente NÃO apresenta sinais/ sintomas associados," • Pacientes com &gt;40 anos com sangramento colorretal, sem diagnóstico prévio de hemorroidas"</x12ac:list>
        </mc:Choice>
        <mc:Fallback>
          <formula1>"Paciente NÃO apresenta sinais/ sintomas associados, • Pacientes com &gt;40 anos com sangramento colorretal, sem diagnóstico prévio de hemorroidas"</formula1>
        </mc:Fallback>
      </mc:AlternateContent>
    </dataValidation>
    <dataValidation type="list" allowBlank="1" showInputMessage="1" showErrorMessage="1" sqref="D10" xr:uid="{00000000-0002-0000-0A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Anemia por deficiência de ferro, com sintomas associados de fraqueza, dor de cabeça, irritabilidade e vários graus de fadiga e intolerância ao exercício"</x12ac:list>
        </mc:Choice>
        <mc:Fallback>
          <formula1>"Sem características de alerta, Anemia por deficiência de ferro, com sintomas associados de fraqueza, dor de cabeça, irritabilidade e vários graus de fadiga e intolerância ao exercício"</formula1>
        </mc:Fallback>
      </mc:AlternateContent>
    </dataValidation>
    <dataValidation type="list" allowBlank="1" showInputMessage="1" showErrorMessage="1" sqref="D11" xr:uid="{00000000-0002-0000-0A00-000007000000}">
      <formula1>"Nenhuma condição de saúde que predispõe o sinal/sintoma, • História familiar de doença inflamatória intestinal ou câncer colorretal em um parente de primeiro grau"</formula1>
    </dataValidation>
    <dataValidation type="list" allowBlank="1" showInputMessage="1" showErrorMessage="1" sqref="D12" xr:uid="{00000000-0002-0000-0A00-000008000000}">
      <mc:AlternateContent xmlns:x12ac="http://schemas.microsoft.com/office/spreadsheetml/2011/1/ac" xmlns:mc="http://schemas.openxmlformats.org/markup-compatibility/2006">
        <mc:Choice Requires="x12ac">
          <x12ac:list>Sem histórico relevante," Pacientes em uso de anticoagulantes e/ou antiagregantes plaquetários, com sangramento volumoso e persistente."</x12ac:list>
        </mc:Choice>
        <mc:Fallback>
          <formula1>"Sem histórico relevante, Pacientes em uso de anticoagulantes e/ou antiagregantes plaquetários, com sangramento volumoso e persistente."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Option Button 5">
              <controlPr defaultSize="0" autoFill="0" autoLine="0" autoPict="0" macro="[0]!GerarDiagnostico_Hemorroidas">
                <anchor moveWithCells="1">
                  <from>
                    <xdr:col>3</xdr:col>
                    <xdr:colOff>371475</xdr:colOff>
                    <xdr:row>1</xdr:row>
                    <xdr:rowOff>219075</xdr:rowOff>
                  </from>
                  <to>
                    <xdr:col>3</xdr:col>
                    <xdr:colOff>1447800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A4B2-2ECC-4AD0-8CB6-CF48CC5EED8B}">
  <sheetPr codeName="Planilha13"/>
  <dimension ref="A2:F100"/>
  <sheetViews>
    <sheetView showGridLines="0" zoomScaleNormal="100" workbookViewId="0">
      <selection activeCell="B2" sqref="B2"/>
    </sheetView>
  </sheetViews>
  <sheetFormatPr defaultRowHeight="15" x14ac:dyDescent="0.25"/>
  <cols>
    <col min="1" max="1" width="17.7109375" customWidth="1"/>
    <col min="2" max="2" width="82.42578125" bestFit="1" customWidth="1"/>
    <col min="3" max="3" width="75.85546875" bestFit="1" customWidth="1"/>
    <col min="4" max="4" width="14.7109375" bestFit="1" customWidth="1"/>
    <col min="5" max="5" width="80.5703125" bestFit="1" customWidth="1"/>
    <col min="6" max="6" width="50" customWidth="1"/>
  </cols>
  <sheetData>
    <row r="2" spans="1:6" ht="38.25" customHeight="1" x14ac:dyDescent="0.45">
      <c r="A2" t="e" vm="1">
        <v>#VALUE!</v>
      </c>
      <c r="B2" s="8" t="s">
        <v>427</v>
      </c>
    </row>
    <row r="4" spans="1:6" ht="28.5" customHeight="1" x14ac:dyDescent="0.25">
      <c r="B4" s="6" t="s">
        <v>388</v>
      </c>
      <c r="C4" s="5" t="s">
        <v>428</v>
      </c>
      <c r="D4" s="97"/>
    </row>
    <row r="5" spans="1:6" ht="30" x14ac:dyDescent="0.25">
      <c r="B5" s="6" t="s">
        <v>390</v>
      </c>
      <c r="C5" s="5" t="s">
        <v>429</v>
      </c>
      <c r="D5" s="97"/>
    </row>
    <row r="6" spans="1:6" x14ac:dyDescent="0.25">
      <c r="B6" s="6" t="s">
        <v>392</v>
      </c>
      <c r="C6" s="5" t="s">
        <v>430</v>
      </c>
      <c r="D6" s="97"/>
    </row>
    <row r="7" spans="1:6" x14ac:dyDescent="0.25">
      <c r="B7" s="6" t="s">
        <v>394</v>
      </c>
      <c r="C7" s="5" t="s">
        <v>395</v>
      </c>
      <c r="D7" s="97"/>
    </row>
    <row r="8" spans="1:6" x14ac:dyDescent="0.25">
      <c r="B8" s="6" t="s">
        <v>396</v>
      </c>
      <c r="C8" s="5" t="s">
        <v>397</v>
      </c>
      <c r="D8" s="97"/>
    </row>
    <row r="9" spans="1:6" x14ac:dyDescent="0.25">
      <c r="B9" s="6" t="s">
        <v>398</v>
      </c>
      <c r="C9" s="5" t="s">
        <v>431</v>
      </c>
      <c r="D9" s="97"/>
    </row>
    <row r="10" spans="1:6" x14ac:dyDescent="0.25">
      <c r="B10" s="6" t="s">
        <v>400</v>
      </c>
      <c r="C10" s="5" t="s">
        <v>401</v>
      </c>
      <c r="D10" s="97"/>
    </row>
    <row r="11" spans="1:6" x14ac:dyDescent="0.25">
      <c r="B11" s="6" t="s">
        <v>402</v>
      </c>
      <c r="C11" s="5" t="s">
        <v>403</v>
      </c>
      <c r="D11" s="97"/>
    </row>
    <row r="12" spans="1:6" ht="54" customHeight="1" x14ac:dyDescent="0.25">
      <c r="B12" s="5" t="s">
        <v>404</v>
      </c>
      <c r="C12" s="5" t="s">
        <v>432</v>
      </c>
      <c r="D12" s="97"/>
    </row>
    <row r="14" spans="1:6" x14ac:dyDescent="0.25">
      <c r="A14" s="98" t="s">
        <v>406</v>
      </c>
      <c r="B14" s="99"/>
      <c r="C14" s="99"/>
      <c r="D14" s="99"/>
      <c r="E14" s="99"/>
    </row>
    <row r="15" spans="1:6" x14ac:dyDescent="0.25">
      <c r="A15" s="100" t="s">
        <v>407</v>
      </c>
      <c r="B15" s="100" t="s">
        <v>78</v>
      </c>
      <c r="C15" s="100" t="s">
        <v>408</v>
      </c>
      <c r="D15" s="100" t="s">
        <v>409</v>
      </c>
      <c r="E15" s="100" t="s">
        <v>81</v>
      </c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60" t="s">
        <v>107</v>
      </c>
      <c r="F16" s="62"/>
    </row>
    <row r="17" spans="1:5" x14ac:dyDescent="0.25">
      <c r="A17" s="101" t="s">
        <v>108</v>
      </c>
      <c r="B17" s="101" t="s">
        <v>105</v>
      </c>
      <c r="C17" s="101" t="s">
        <v>115</v>
      </c>
      <c r="D17" s="101" t="s">
        <v>93</v>
      </c>
      <c r="E17" s="101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8" t="s">
        <v>83</v>
      </c>
      <c r="B22" s="58" t="s">
        <v>85</v>
      </c>
      <c r="C22" s="58" t="s">
        <v>100</v>
      </c>
      <c r="D22" s="58" t="s">
        <v>87</v>
      </c>
      <c r="E22" s="58" t="s">
        <v>101</v>
      </c>
    </row>
    <row r="23" spans="1:5" x14ac:dyDescent="0.25">
      <c r="A23" s="99"/>
      <c r="B23" s="99"/>
      <c r="C23" s="99"/>
      <c r="D23" s="99"/>
      <c r="E23" s="99"/>
    </row>
    <row r="24" spans="1:5" x14ac:dyDescent="0.25">
      <c r="A24" s="99"/>
      <c r="B24" s="99"/>
      <c r="C24" s="99"/>
      <c r="D24" s="99"/>
      <c r="E24" s="99"/>
    </row>
    <row r="25" spans="1:5" x14ac:dyDescent="0.25">
      <c r="A25" s="99"/>
      <c r="B25" s="99"/>
      <c r="C25" s="99"/>
      <c r="D25" s="99"/>
      <c r="E25" s="99"/>
    </row>
    <row r="26" spans="1:5" x14ac:dyDescent="0.25">
      <c r="A26" s="99"/>
      <c r="B26" s="99"/>
      <c r="C26" s="99"/>
      <c r="D26" s="99"/>
      <c r="E26" s="99"/>
    </row>
    <row r="27" spans="1:5" x14ac:dyDescent="0.25">
      <c r="A27" s="99"/>
      <c r="B27" s="99"/>
      <c r="C27" s="99"/>
      <c r="D27" s="99"/>
      <c r="E27" s="99"/>
    </row>
    <row r="28" spans="1:5" x14ac:dyDescent="0.25">
      <c r="A28" s="99"/>
      <c r="B28" s="99"/>
      <c r="C28" s="99"/>
      <c r="D28" s="99"/>
      <c r="E28" s="99"/>
    </row>
    <row r="29" spans="1:5" x14ac:dyDescent="0.25">
      <c r="A29" s="99"/>
      <c r="B29" s="99"/>
      <c r="C29" s="99"/>
      <c r="D29" s="99"/>
      <c r="E29" s="99"/>
    </row>
    <row r="30" spans="1:5" x14ac:dyDescent="0.25">
      <c r="A30" s="99"/>
      <c r="B30" s="99"/>
      <c r="C30" s="99"/>
      <c r="D30" s="99"/>
      <c r="E30" s="99"/>
    </row>
    <row r="31" spans="1:5" x14ac:dyDescent="0.25">
      <c r="A31" s="99"/>
      <c r="B31" s="99"/>
      <c r="C31" s="99"/>
      <c r="D31" s="99"/>
      <c r="E31" s="99"/>
    </row>
    <row r="32" spans="1:5" x14ac:dyDescent="0.25">
      <c r="A32" s="99"/>
      <c r="B32" s="99"/>
      <c r="C32" s="99"/>
      <c r="D32" s="99"/>
      <c r="E32" s="99"/>
    </row>
    <row r="33" spans="1:5" x14ac:dyDescent="0.25">
      <c r="A33" s="99"/>
      <c r="B33" s="99"/>
      <c r="C33" s="99"/>
      <c r="D33" s="99"/>
      <c r="E33" s="99"/>
    </row>
    <row r="34" spans="1:5" x14ac:dyDescent="0.25">
      <c r="A34" s="99"/>
      <c r="B34" s="99"/>
      <c r="C34" s="99"/>
      <c r="D34" s="99"/>
      <c r="E34" s="99"/>
    </row>
    <row r="35" spans="1:5" x14ac:dyDescent="0.25">
      <c r="A35" s="99"/>
      <c r="B35" s="99"/>
      <c r="C35" s="99"/>
      <c r="D35" s="99"/>
      <c r="E35" s="99"/>
    </row>
    <row r="36" spans="1:5" x14ac:dyDescent="0.25">
      <c r="A36" s="99"/>
      <c r="B36" s="99"/>
      <c r="C36" s="99"/>
      <c r="D36" s="99"/>
      <c r="E36" s="99"/>
    </row>
    <row r="37" spans="1:5" x14ac:dyDescent="0.25">
      <c r="A37" s="99"/>
      <c r="B37" s="99"/>
      <c r="C37" s="99"/>
      <c r="D37" s="99"/>
      <c r="E37" s="99"/>
    </row>
    <row r="38" spans="1:5" x14ac:dyDescent="0.25">
      <c r="A38" s="99"/>
      <c r="B38" s="99"/>
      <c r="C38" s="99"/>
      <c r="D38" s="99"/>
      <c r="E38" s="99"/>
    </row>
    <row r="39" spans="1:5" x14ac:dyDescent="0.25">
      <c r="A39" s="99"/>
      <c r="B39" s="99"/>
      <c r="C39" s="99"/>
      <c r="D39" s="99"/>
      <c r="E39" s="99"/>
    </row>
    <row r="40" spans="1:5" x14ac:dyDescent="0.25">
      <c r="A40" s="99"/>
      <c r="B40" s="99"/>
      <c r="C40" s="99"/>
      <c r="D40" s="99"/>
      <c r="E40" s="99"/>
    </row>
    <row r="41" spans="1:5" x14ac:dyDescent="0.25">
      <c r="A41" s="99"/>
      <c r="B41" s="99"/>
      <c r="C41" s="99"/>
      <c r="D41" s="99"/>
      <c r="E41" s="99"/>
    </row>
    <row r="42" spans="1:5" x14ac:dyDescent="0.25">
      <c r="A42" s="99"/>
      <c r="B42" s="99"/>
      <c r="C42" s="99"/>
      <c r="D42" s="99"/>
      <c r="E42" s="99"/>
    </row>
    <row r="43" spans="1:5" x14ac:dyDescent="0.25">
      <c r="A43" s="99"/>
      <c r="B43" s="99"/>
      <c r="C43" s="99"/>
      <c r="D43" s="99"/>
      <c r="E43" s="99"/>
    </row>
    <row r="44" spans="1:5" x14ac:dyDescent="0.25">
      <c r="A44" s="99"/>
      <c r="B44" s="99"/>
      <c r="C44" s="99"/>
      <c r="D44" s="99"/>
      <c r="E44" s="99"/>
    </row>
    <row r="45" spans="1:5" x14ac:dyDescent="0.25">
      <c r="A45" s="99"/>
      <c r="B45" s="99"/>
      <c r="C45" s="99"/>
      <c r="D45" s="99"/>
      <c r="E45" s="99"/>
    </row>
    <row r="46" spans="1:5" x14ac:dyDescent="0.25">
      <c r="A46" s="99"/>
      <c r="B46" s="99"/>
      <c r="C46" s="99"/>
      <c r="D46" s="99"/>
      <c r="E46" s="99"/>
    </row>
    <row r="47" spans="1:5" x14ac:dyDescent="0.25">
      <c r="A47" s="99"/>
      <c r="B47" s="99"/>
      <c r="C47" s="99"/>
      <c r="D47" s="99"/>
      <c r="E47" s="99"/>
    </row>
    <row r="48" spans="1:5" x14ac:dyDescent="0.25">
      <c r="A48" s="99"/>
      <c r="B48" s="99"/>
      <c r="C48" s="99"/>
      <c r="D48" s="99"/>
      <c r="E48" s="99"/>
    </row>
    <row r="49" spans="1:5" x14ac:dyDescent="0.25">
      <c r="A49" s="99"/>
      <c r="B49" s="99"/>
      <c r="C49" s="99"/>
      <c r="D49" s="99"/>
      <c r="E49" s="99"/>
    </row>
    <row r="50" spans="1:5" x14ac:dyDescent="0.25">
      <c r="A50" s="99"/>
      <c r="B50" s="99"/>
      <c r="C50" s="99"/>
      <c r="D50" s="99"/>
      <c r="E50" s="99"/>
    </row>
    <row r="51" spans="1:5" x14ac:dyDescent="0.25">
      <c r="A51" s="99"/>
      <c r="B51" s="99"/>
      <c r="C51" s="99"/>
      <c r="D51" s="99"/>
      <c r="E51" s="99"/>
    </row>
    <row r="52" spans="1:5" x14ac:dyDescent="0.25">
      <c r="A52" s="99"/>
      <c r="B52" s="99"/>
      <c r="C52" s="99"/>
      <c r="D52" s="99"/>
      <c r="E52" s="99"/>
    </row>
    <row r="53" spans="1:5" x14ac:dyDescent="0.25">
      <c r="A53" s="99"/>
      <c r="B53" s="99"/>
      <c r="C53" s="99"/>
      <c r="D53" s="99"/>
      <c r="E53" s="99"/>
    </row>
    <row r="54" spans="1:5" x14ac:dyDescent="0.25">
      <c r="A54" s="99"/>
      <c r="B54" s="99"/>
      <c r="C54" s="99"/>
      <c r="D54" s="99"/>
      <c r="E54" s="99"/>
    </row>
    <row r="55" spans="1:5" x14ac:dyDescent="0.25">
      <c r="A55" s="99"/>
      <c r="B55" s="99"/>
      <c r="C55" s="99"/>
      <c r="D55" s="99"/>
      <c r="E55" s="99"/>
    </row>
    <row r="56" spans="1:5" x14ac:dyDescent="0.25">
      <c r="A56" s="99"/>
      <c r="B56" s="99"/>
      <c r="C56" s="99"/>
      <c r="D56" s="99"/>
      <c r="E56" s="99"/>
    </row>
    <row r="57" spans="1:5" x14ac:dyDescent="0.25">
      <c r="A57" s="99"/>
      <c r="B57" s="99"/>
      <c r="C57" s="99"/>
      <c r="D57" s="99"/>
      <c r="E57" s="99"/>
    </row>
    <row r="58" spans="1:5" x14ac:dyDescent="0.25">
      <c r="A58" s="99"/>
      <c r="B58" s="99"/>
      <c r="C58" s="99"/>
      <c r="D58" s="99"/>
      <c r="E58" s="99"/>
    </row>
    <row r="59" spans="1:5" x14ac:dyDescent="0.25">
      <c r="A59" s="99"/>
      <c r="B59" s="99"/>
      <c r="C59" s="99"/>
      <c r="D59" s="99"/>
      <c r="E59" s="99"/>
    </row>
    <row r="60" spans="1:5" x14ac:dyDescent="0.25">
      <c r="A60" s="99"/>
      <c r="B60" s="99"/>
      <c r="C60" s="99"/>
      <c r="D60" s="99"/>
      <c r="E60" s="99"/>
    </row>
    <row r="61" spans="1:5" x14ac:dyDescent="0.25">
      <c r="A61" s="99"/>
      <c r="B61" s="99"/>
      <c r="C61" s="99"/>
      <c r="D61" s="99"/>
      <c r="E61" s="99"/>
    </row>
    <row r="62" spans="1:5" x14ac:dyDescent="0.25">
      <c r="A62" s="99"/>
      <c r="B62" s="99"/>
      <c r="C62" s="99"/>
      <c r="D62" s="99"/>
      <c r="E62" s="99"/>
    </row>
    <row r="63" spans="1:5" x14ac:dyDescent="0.25">
      <c r="A63" s="99"/>
      <c r="B63" s="99"/>
      <c r="C63" s="99"/>
      <c r="D63" s="99"/>
      <c r="E63" s="99"/>
    </row>
    <row r="64" spans="1:5" x14ac:dyDescent="0.25">
      <c r="A64" s="99"/>
      <c r="B64" s="99"/>
      <c r="C64" s="99"/>
      <c r="D64" s="99"/>
      <c r="E64" s="99"/>
    </row>
    <row r="65" spans="1:5" x14ac:dyDescent="0.25">
      <c r="A65" s="99"/>
      <c r="B65" s="99"/>
      <c r="C65" s="99"/>
      <c r="D65" s="99"/>
      <c r="E65" s="99"/>
    </row>
    <row r="66" spans="1:5" x14ac:dyDescent="0.25">
      <c r="A66" s="99"/>
      <c r="B66" s="99"/>
      <c r="C66" s="99"/>
      <c r="D66" s="99"/>
      <c r="E66" s="99"/>
    </row>
    <row r="67" spans="1:5" x14ac:dyDescent="0.25">
      <c r="A67" s="99"/>
      <c r="B67" s="99"/>
      <c r="C67" s="99"/>
      <c r="D67" s="99"/>
      <c r="E67" s="99"/>
    </row>
    <row r="68" spans="1:5" x14ac:dyDescent="0.25">
      <c r="A68" s="99"/>
      <c r="B68" s="99"/>
      <c r="C68" s="99"/>
      <c r="D68" s="99"/>
      <c r="E68" s="99"/>
    </row>
    <row r="69" spans="1:5" x14ac:dyDescent="0.25">
      <c r="A69" s="99"/>
      <c r="B69" s="99"/>
      <c r="C69" s="99"/>
      <c r="D69" s="99"/>
      <c r="E69" s="99"/>
    </row>
    <row r="70" spans="1:5" x14ac:dyDescent="0.25">
      <c r="A70" s="99"/>
      <c r="B70" s="99"/>
      <c r="C70" s="99"/>
      <c r="D70" s="99"/>
      <c r="E70" s="99"/>
    </row>
    <row r="71" spans="1:5" x14ac:dyDescent="0.25">
      <c r="A71" s="99"/>
      <c r="B71" s="99"/>
      <c r="C71" s="99"/>
      <c r="D71" s="99"/>
      <c r="E71" s="99"/>
    </row>
    <row r="72" spans="1:5" x14ac:dyDescent="0.25">
      <c r="A72" s="99"/>
      <c r="B72" s="99"/>
      <c r="C72" s="99"/>
      <c r="D72" s="99"/>
      <c r="E72" s="99"/>
    </row>
    <row r="73" spans="1:5" x14ac:dyDescent="0.25">
      <c r="A73" s="99"/>
      <c r="B73" s="99"/>
      <c r="C73" s="99"/>
      <c r="D73" s="99"/>
      <c r="E73" s="99"/>
    </row>
    <row r="74" spans="1:5" x14ac:dyDescent="0.25">
      <c r="A74" s="99"/>
      <c r="B74" s="99"/>
      <c r="C74" s="99"/>
      <c r="D74" s="99"/>
      <c r="E74" s="99"/>
    </row>
    <row r="75" spans="1:5" x14ac:dyDescent="0.25">
      <c r="A75" s="99"/>
      <c r="B75" s="99"/>
      <c r="C75" s="99"/>
      <c r="D75" s="99"/>
      <c r="E75" s="99"/>
    </row>
    <row r="76" spans="1:5" x14ac:dyDescent="0.25">
      <c r="A76" s="99"/>
      <c r="B76" s="99"/>
      <c r="C76" s="99"/>
      <c r="D76" s="99"/>
      <c r="E76" s="99"/>
    </row>
    <row r="77" spans="1:5" x14ac:dyDescent="0.25">
      <c r="A77" s="99"/>
      <c r="B77" s="99"/>
      <c r="C77" s="99"/>
      <c r="D77" s="99"/>
      <c r="E77" s="99"/>
    </row>
    <row r="78" spans="1:5" x14ac:dyDescent="0.25">
      <c r="A78" s="99"/>
      <c r="B78" s="99"/>
      <c r="C78" s="99"/>
      <c r="D78" s="99"/>
      <c r="E78" s="99"/>
    </row>
    <row r="79" spans="1:5" x14ac:dyDescent="0.25">
      <c r="A79" s="99"/>
      <c r="B79" s="99"/>
      <c r="C79" s="99"/>
      <c r="D79" s="99"/>
      <c r="E79" s="99"/>
    </row>
    <row r="80" spans="1:5" x14ac:dyDescent="0.25">
      <c r="A80" s="99"/>
      <c r="B80" s="99"/>
      <c r="C80" s="99"/>
      <c r="D80" s="99"/>
      <c r="E80" s="99"/>
    </row>
    <row r="81" spans="1:5" x14ac:dyDescent="0.25">
      <c r="A81" s="99"/>
      <c r="B81" s="99"/>
      <c r="C81" s="99"/>
      <c r="D81" s="99"/>
      <c r="E81" s="99"/>
    </row>
    <row r="82" spans="1:5" x14ac:dyDescent="0.25">
      <c r="A82" s="99"/>
      <c r="B82" s="99"/>
      <c r="C82" s="99"/>
      <c r="D82" s="99"/>
      <c r="E82" s="99"/>
    </row>
    <row r="83" spans="1:5" x14ac:dyDescent="0.25">
      <c r="A83" s="99"/>
      <c r="B83" s="99"/>
      <c r="C83" s="99"/>
      <c r="D83" s="99"/>
      <c r="E83" s="99"/>
    </row>
    <row r="84" spans="1:5" x14ac:dyDescent="0.25">
      <c r="A84" s="99"/>
      <c r="B84" s="99"/>
      <c r="C84" s="99"/>
      <c r="D84" s="99"/>
      <c r="E84" s="99"/>
    </row>
    <row r="85" spans="1:5" x14ac:dyDescent="0.25">
      <c r="A85" s="99"/>
      <c r="B85" s="99"/>
      <c r="C85" s="99"/>
      <c r="D85" s="99"/>
      <c r="E85" s="99"/>
    </row>
    <row r="86" spans="1:5" x14ac:dyDescent="0.25">
      <c r="A86" s="99"/>
      <c r="B86" s="99"/>
      <c r="C86" s="99"/>
      <c r="D86" s="99"/>
      <c r="E86" s="99"/>
    </row>
    <row r="87" spans="1:5" x14ac:dyDescent="0.25">
      <c r="A87" s="99"/>
      <c r="B87" s="99"/>
      <c r="C87" s="99"/>
      <c r="D87" s="99"/>
      <c r="E87" s="99"/>
    </row>
    <row r="88" spans="1:5" x14ac:dyDescent="0.25">
      <c r="A88" s="99"/>
      <c r="B88" s="99"/>
      <c r="C88" s="99"/>
      <c r="D88" s="99"/>
      <c r="E88" s="99"/>
    </row>
    <row r="89" spans="1:5" x14ac:dyDescent="0.25">
      <c r="A89" s="99"/>
      <c r="B89" s="99"/>
      <c r="C89" s="99"/>
      <c r="D89" s="99"/>
      <c r="E89" s="99"/>
    </row>
    <row r="90" spans="1:5" x14ac:dyDescent="0.25">
      <c r="A90" s="99"/>
      <c r="B90" s="99"/>
      <c r="C90" s="99"/>
      <c r="D90" s="99"/>
      <c r="E90" s="99"/>
    </row>
    <row r="91" spans="1:5" x14ac:dyDescent="0.25">
      <c r="A91" s="99"/>
      <c r="B91" s="99"/>
      <c r="C91" s="99"/>
      <c r="D91" s="99"/>
      <c r="E91" s="99"/>
    </row>
    <row r="92" spans="1:5" x14ac:dyDescent="0.25">
      <c r="A92" s="99"/>
      <c r="B92" s="99"/>
      <c r="C92" s="99"/>
      <c r="D92" s="99"/>
      <c r="E92" s="99"/>
    </row>
    <row r="93" spans="1:5" x14ac:dyDescent="0.25">
      <c r="A93" s="99"/>
      <c r="B93" s="99"/>
      <c r="C93" s="99"/>
      <c r="D93" s="99"/>
      <c r="E93" s="99"/>
    </row>
    <row r="94" spans="1:5" x14ac:dyDescent="0.25">
      <c r="A94" s="99"/>
      <c r="B94" s="99"/>
      <c r="C94" s="99"/>
      <c r="D94" s="99"/>
      <c r="E94" s="99"/>
    </row>
    <row r="95" spans="1:5" x14ac:dyDescent="0.25">
      <c r="A95" s="99"/>
      <c r="B95" s="99"/>
      <c r="C95" s="99"/>
      <c r="D95" s="99"/>
      <c r="E95" s="99"/>
    </row>
    <row r="96" spans="1:5" x14ac:dyDescent="0.25">
      <c r="A96" s="99"/>
      <c r="B96" s="99"/>
      <c r="C96" s="99"/>
      <c r="D96" s="99"/>
      <c r="E96" s="99"/>
    </row>
    <row r="97" spans="1:5" x14ac:dyDescent="0.25">
      <c r="A97" s="99"/>
      <c r="B97" s="99"/>
      <c r="C97" s="99"/>
      <c r="D97" s="99"/>
      <c r="E97" s="99"/>
    </row>
    <row r="98" spans="1:5" x14ac:dyDescent="0.25">
      <c r="A98" s="99"/>
      <c r="B98" s="99"/>
      <c r="C98" s="99"/>
      <c r="D98" s="99"/>
      <c r="E98" s="99"/>
    </row>
    <row r="99" spans="1:5" x14ac:dyDescent="0.25">
      <c r="A99" s="99"/>
      <c r="B99" s="99"/>
      <c r="C99" s="99"/>
      <c r="D99" s="99"/>
      <c r="E99" s="99"/>
    </row>
    <row r="100" spans="1:5" x14ac:dyDescent="0.25">
      <c r="A100" s="99"/>
      <c r="B100" s="99"/>
      <c r="C100" s="99"/>
      <c r="D100" s="99"/>
      <c r="E100" s="99"/>
    </row>
  </sheetData>
  <dataValidations count="9">
    <dataValidation type="list" allowBlank="1" showInputMessage="1" showErrorMessage="1" sqref="C4" xr:uid="{9704C195-AC02-4DD6-A0B4-0D88B5CB4188}">
      <mc:AlternateContent xmlns:x12ac="http://schemas.microsoft.com/office/spreadsheetml/2011/1/ac" xmlns:mc="http://schemas.openxmlformats.org/markup-compatibility/2006">
        <mc:Choice Requires="x12ac">
          <x12ac:list>&lt; 3 dias," Febre que persiste por mais de três dias, com ou sem tratamento, recorrência depois de um intervalo de apirexia."</x12ac:list>
        </mc:Choice>
        <mc:Fallback>
          <formula1>"&lt; 3 dias, Febre que persiste por mais de três dias, com ou sem tratamento, recorrência depois de um intervalo de apirexia."</formula1>
        </mc:Fallback>
      </mc:AlternateContent>
    </dataValidation>
    <dataValidation type="list" allowBlank="1" showInputMessage="1" showErrorMessage="1" sqref="C5" xr:uid="{49C006D7-89B1-4C8E-9607-261AA7BC3C5C}">
      <mc:AlternateContent xmlns:x12ac="http://schemas.microsoft.com/office/spreadsheetml/2011/1/ac" xmlns:mc="http://schemas.openxmlformats.org/markup-compatibility/2006">
        <mc:Choice Requires="x12ac">
          <x12ac:list>"T.* Retal &gt; 38°C T.* Oral &gt; 37,5°C T.* Axilar &gt; 37,4°C T.* Temporal &gt; 37,8°C T.* Timpânica &gt; 37,8°C"," Febre alta (T. entre 39,5°C e 40,5°C) ou muito alta (T. &gt; 40,5°C)"</x12ac:list>
        </mc:Choice>
        <mc:Fallback>
          <formula1>"T.* Retal &gt; 38°C T.* Oral &gt; 37,5°C T.* Axilar &gt; 37,4°C T.* Temporal &gt; 37,8°C T.* Timpânica &gt; 37,8°C, Febre alta (T. entre 39,5°C e 40,5°C) ou muito alta (T. &gt; 40,5°C)"</formula1>
        </mc:Fallback>
      </mc:AlternateContent>
    </dataValidation>
    <dataValidation type="list" allowBlank="1" showInputMessage="1" showErrorMessage="1" sqref="C6" xr:uid="{58DEBC20-3E10-4085-9E3A-2BBA2E67CE26}">
      <formula1>"Leve a moderada. Paciente NÃO está incapacitado para realizar atividades diárias, Intensa. O sinal/sintoma compromete a realização das atividades diárias"</formula1>
    </dataValidation>
    <dataValidation type="list" allowBlank="1" showInputMessage="1" showErrorMessage="1" sqref="C7" xr:uid="{6A5EF38C-76A2-4010-B13E-E69B041BAE59}">
      <mc:AlternateContent xmlns:x12ac="http://schemas.microsoft.com/office/spreadsheetml/2011/1/ac" xmlns:mc="http://schemas.openxmlformats.org/markup-compatibility/2006">
        <mc:Choice Requires="x12ac">
          <x12ac:list>Nenhum (a) ambiente/ situação de alerta," Associada a medicamentos (surge entre 7 e 10 dias do início do tratamento, cessa de 24 a 72 horas com a retirada do medicamento). Veja lista de potenciais medicamentos no verso."</x12ac:list>
        </mc:Choice>
        <mc:Fallback>
          <formula1>"Nenhum (a) ambiente/ situação de alerta, Associada a medicamentos (surge entre 7 e 10 dias do início do tratamento, cessa de 24 a 72 horas com a retirada do medicamento). Veja lista de potenciais medicamentos no verso."</formula1>
        </mc:Fallback>
      </mc:AlternateContent>
    </dataValidation>
    <dataValidation type="list" allowBlank="1" showInputMessage="1" showErrorMessage="1" sqref="C8" xr:uid="{0459B5D5-6CE3-4BD3-99D7-C16655A16D5B}">
      <formula1>"Nenhum(a) fator/situação de alerta, Suspeita de hipertermia (elevação da temperatura que não responda a antipiréticos)"</formula1>
    </dataValidation>
    <dataValidation type="list" allowBlank="1" showInputMessage="1" showErrorMessage="1" sqref="C9" xr:uid="{DDAA3410-0D02-4007-A0FF-B2733FAB4944}">
      <mc:AlternateContent xmlns:x12ac="http://schemas.microsoft.com/office/spreadsheetml/2011/1/ac" xmlns:mc="http://schemas.openxmlformats.org/markup-compatibility/2006">
        <mc:Choice Requires="x12ac">
          <x12ac:list>Paciente NÃO apresenta sinais/sintomas associados," Crianças muito sonolentas, irritadas ou sem agilidade de resposta para acordar, com vômitos e que não conseguem ingerir líquidos, choro fraco e contínuo, impossibilidade de beber ou mamar."</x12ac:list>
        </mc:Choice>
        <mc:Fallback>
          <formula1>"Paciente NÃO apresenta sinais/sintomas associados, Crianças muito sonolentas, irritadas ou sem agilidade de resposta para acordar, com vômitos e que não conseguem ingerir líquidos, choro fraco e contínuo, impossibilidade de beber ou mamar."</formula1>
        </mc:Fallback>
      </mc:AlternateContent>
    </dataValidation>
    <dataValidation type="list" allowBlank="1" showInputMessage="1" showErrorMessage="1" sqref="C10" xr:uid="{5B19656F-8C18-4DA2-B3FC-3F5AAD6B60E9}">
      <mc:AlternateContent xmlns:x12ac="http://schemas.microsoft.com/office/spreadsheetml/2011/1/ac" xmlns:mc="http://schemas.openxmlformats.org/markup-compatibility/2006">
        <mc:Choice Requires="x12ac">
          <x12ac:list>Sem características de alerta," Crianças menores de dois meses com febre devem sempre ser avaliadas em hospital, crianças não imunizadas ou subimunizadas, entre 3 e 36 meses com temperatura ≥ 39°C"</x12ac:list>
        </mc:Choice>
        <mc:Fallback>
          <formula1>"Sem características de alerta, Crianças menores de dois meses com febre devem sempre ser avaliadas em hospital, crianças não imunizadas ou subimunizadas, entre 3 e 36 meses com temperatura ≥ 39°C"</formula1>
        </mc:Fallback>
      </mc:AlternateContent>
    </dataValidation>
    <dataValidation type="list" allowBlank="1" showInputMessage="1" showErrorMessage="1" sqref="C11" xr:uid="{EB396A73-2AB1-4EC2-BAAC-DB422C5B9720}">
      <mc:AlternateContent xmlns:x12ac="http://schemas.microsoft.com/office/spreadsheetml/2011/1/ac" xmlns:mc="http://schemas.openxmlformats.org/markup-compatibility/2006">
        <mc:Choice Requires="x12ac">
          <x12ac:list>Nenhuma condição de saúde que predispõe ou agrava o sinal/sintoma," Utilização de oxigênio comprometida (p.ex: doença pulmonar obstrutiva crônica (DPOC) grave, alterações na respiração, insuficiência cardíaca descompensada e asma)"</x12ac:list>
        </mc:Choice>
        <mc:Fallback>
          <formula1>"Nenhuma condição de saúde que predispõe ou agrava o sinal/sintoma, Utilização de oxigênio comprometida (p.ex: doença pulmonar obstrutiva crônica (DPOC) grave, alterações na respiração, insuficiência cardíaca descompensada e asma)"</formula1>
        </mc:Fallback>
      </mc:AlternateContent>
    </dataValidation>
    <dataValidation type="list" allowBlank="1" showInputMessage="1" showErrorMessage="1" sqref="C12" xr:uid="{931C11FA-7F6E-4040-9CCB-B3CEB6D70E81}">
      <mc:AlternateContent xmlns:x12ac="http://schemas.microsoft.com/office/spreadsheetml/2011/1/ac" xmlns:mc="http://schemas.openxmlformats.org/markup-compatibility/2006">
        <mc:Choice Requires="x12ac">
          <x12ac:list>Sem histórico relevante ," Crianças que se recusam a ingerir qualquer líquido e que, por isso, não conseguem fazer o tratamento antipirético por via oral"</x12ac:list>
        </mc:Choice>
        <mc:Fallback>
          <formula1>"Sem histórico relevante , Crianças que se recusam a ingerir qualquer líquido e que, por isso, não conseguem fazer o tratamento antipirético por via oral"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3" name="Option Button 7">
              <controlPr defaultSize="0" autoFill="0" autoLine="0" autoPict="0" macro="[0]!GerarDiagnostico_Febre">
                <anchor moveWithCells="1">
                  <from>
                    <xdr:col>3</xdr:col>
                    <xdr:colOff>438150</xdr:colOff>
                    <xdr:row>1</xdr:row>
                    <xdr:rowOff>152400</xdr:rowOff>
                  </from>
                  <to>
                    <xdr:col>4</xdr:col>
                    <xdr:colOff>533400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4" name="Option Button 9">
              <controlPr defaultSize="0" autoFill="0" autoLine="0" autoPict="0" macro="[0]!GerarDiagnostico_Febre">
                <anchor moveWithCells="1">
                  <from>
                    <xdr:col>2</xdr:col>
                    <xdr:colOff>438150</xdr:colOff>
                    <xdr:row>1</xdr:row>
                    <xdr:rowOff>152400</xdr:rowOff>
                  </from>
                  <to>
                    <xdr:col>2</xdr:col>
                    <xdr:colOff>1514475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2:F21"/>
  <sheetViews>
    <sheetView showGridLines="0" zoomScale="91" zoomScaleNormal="91" workbookViewId="0">
      <selection activeCell="E2" sqref="E2"/>
    </sheetView>
  </sheetViews>
  <sheetFormatPr defaultRowHeight="15" x14ac:dyDescent="0.25"/>
  <cols>
    <col min="1" max="1" width="19.28515625" customWidth="1"/>
    <col min="2" max="2" width="82.42578125" bestFit="1" customWidth="1"/>
    <col min="3" max="3" width="79.28515625" bestFit="1" customWidth="1"/>
    <col min="4" max="4" width="90.42578125" customWidth="1"/>
    <col min="5" max="5" width="83.7109375" bestFit="1" customWidth="1"/>
    <col min="6" max="6" width="46.85546875" customWidth="1"/>
  </cols>
  <sheetData>
    <row r="2" spans="1:6" ht="42.75" customHeight="1" x14ac:dyDescent="0.5">
      <c r="A2" t="e" vm="1">
        <v>#VALUE!</v>
      </c>
      <c r="B2" s="7" t="s">
        <v>433</v>
      </c>
    </row>
    <row r="4" spans="1:6" x14ac:dyDescent="0.25">
      <c r="B4" s="6" t="s">
        <v>388</v>
      </c>
      <c r="C4" s="5" t="s">
        <v>434</v>
      </c>
    </row>
    <row r="5" spans="1:6" ht="18.75" customHeight="1" x14ac:dyDescent="0.25">
      <c r="B5" s="6" t="s">
        <v>390</v>
      </c>
      <c r="C5" s="5" t="s">
        <v>435</v>
      </c>
    </row>
    <row r="6" spans="1:6" ht="17.25" customHeight="1" x14ac:dyDescent="0.25">
      <c r="B6" s="6" t="s">
        <v>392</v>
      </c>
      <c r="C6" s="5" t="s">
        <v>393</v>
      </c>
    </row>
    <row r="7" spans="1:6" ht="18" customHeight="1" x14ac:dyDescent="0.25">
      <c r="B7" s="6" t="s">
        <v>394</v>
      </c>
      <c r="C7" s="5" t="s">
        <v>436</v>
      </c>
    </row>
    <row r="8" spans="1:6" ht="15.75" customHeight="1" x14ac:dyDescent="0.25">
      <c r="B8" s="6" t="s">
        <v>396</v>
      </c>
      <c r="C8" s="5" t="s">
        <v>437</v>
      </c>
    </row>
    <row r="9" spans="1:6" ht="20.25" customHeight="1" x14ac:dyDescent="0.25">
      <c r="B9" s="6" t="s">
        <v>398</v>
      </c>
      <c r="C9" s="5" t="s">
        <v>438</v>
      </c>
    </row>
    <row r="10" spans="1:6" ht="15" customHeight="1" x14ac:dyDescent="0.25">
      <c r="B10" s="6" t="s">
        <v>400</v>
      </c>
      <c r="C10" s="5" t="s">
        <v>401</v>
      </c>
    </row>
    <row r="11" spans="1:6" ht="17.25" customHeight="1" x14ac:dyDescent="0.25">
      <c r="B11" s="6" t="s">
        <v>402</v>
      </c>
      <c r="C11" s="5" t="s">
        <v>403</v>
      </c>
    </row>
    <row r="12" spans="1:6" ht="42.95" customHeight="1" x14ac:dyDescent="0.25">
      <c r="B12" s="5" t="s">
        <v>404</v>
      </c>
      <c r="C12" s="5" t="s">
        <v>439</v>
      </c>
    </row>
    <row r="14" spans="1:6" x14ac:dyDescent="0.25">
      <c r="A14" s="65" t="s">
        <v>412</v>
      </c>
    </row>
    <row r="15" spans="1:6" x14ac:dyDescent="0.25">
      <c r="A15" s="66" t="s">
        <v>407</v>
      </c>
      <c r="B15" s="66" t="s">
        <v>78</v>
      </c>
      <c r="C15" s="66" t="s">
        <v>408</v>
      </c>
      <c r="D15" s="66" t="s">
        <v>409</v>
      </c>
      <c r="E15" s="66" t="s">
        <v>81</v>
      </c>
    </row>
    <row r="16" spans="1:6" s="70" customFormat="1" x14ac:dyDescent="0.25">
      <c r="A16" s="67" t="s">
        <v>121</v>
      </c>
      <c r="B16" s="67" t="s">
        <v>105</v>
      </c>
      <c r="C16" s="67" t="s">
        <v>337</v>
      </c>
      <c r="D16" s="67" t="s">
        <v>119</v>
      </c>
      <c r="E16" s="68" t="s">
        <v>383</v>
      </c>
      <c r="F16" s="69"/>
    </row>
    <row r="17" spans="1:5" x14ac:dyDescent="0.25">
      <c r="A17" s="4" t="s">
        <v>108</v>
      </c>
      <c r="B17" s="4" t="s">
        <v>105</v>
      </c>
      <c r="C17" s="4" t="s">
        <v>335</v>
      </c>
      <c r="D17" s="4" t="s">
        <v>381</v>
      </c>
      <c r="E17" s="4" t="s">
        <v>382</v>
      </c>
    </row>
    <row r="18" spans="1:5" x14ac:dyDescent="0.25">
      <c r="A18" s="4" t="s">
        <v>103</v>
      </c>
      <c r="B18" s="4" t="s">
        <v>105</v>
      </c>
      <c r="C18" s="4" t="s">
        <v>332</v>
      </c>
      <c r="D18" s="4" t="s">
        <v>379</v>
      </c>
      <c r="E18" s="4" t="s">
        <v>380</v>
      </c>
    </row>
    <row r="19" spans="1:5" s="58" customFormat="1" x14ac:dyDescent="0.25">
      <c r="A19" s="57" t="s">
        <v>83</v>
      </c>
      <c r="B19" s="57" t="s">
        <v>85</v>
      </c>
      <c r="C19" s="57" t="s">
        <v>326</v>
      </c>
      <c r="D19" s="57" t="s">
        <v>85</v>
      </c>
      <c r="E19" s="57" t="s">
        <v>376</v>
      </c>
    </row>
    <row r="20" spans="1:5" s="58" customFormat="1" x14ac:dyDescent="0.25">
      <c r="A20" s="57" t="s">
        <v>83</v>
      </c>
      <c r="B20" s="57" t="s">
        <v>85</v>
      </c>
      <c r="C20" s="57" t="s">
        <v>328</v>
      </c>
      <c r="D20" s="57" t="s">
        <v>85</v>
      </c>
      <c r="E20" s="57" t="s">
        <v>377</v>
      </c>
    </row>
    <row r="21" spans="1:5" s="58" customFormat="1" x14ac:dyDescent="0.25">
      <c r="A21" s="57" t="s">
        <v>83</v>
      </c>
      <c r="B21" s="57" t="s">
        <v>85</v>
      </c>
      <c r="C21" s="57" t="s">
        <v>330</v>
      </c>
      <c r="D21" s="57" t="s">
        <v>85</v>
      </c>
      <c r="E21" s="57" t="s">
        <v>378</v>
      </c>
    </row>
  </sheetData>
  <dataValidations count="9">
    <dataValidation type="list" allowBlank="1" showInputMessage="1" showErrorMessage="1" sqref="C4" xr:uid="{00000000-0002-0000-0B00-000000000000}">
      <formula1>"≤ 5 dias, &gt; 5 dias no adulto. • &gt; 2 dias em crianças entre 2-12 anos e idosos"</formula1>
    </dataValidation>
    <dataValidation type="list" allowBlank="1" showInputMessage="1" showErrorMessage="1" sqref="C5" xr:uid="{00000000-0002-0000-0B00-000001000000}">
      <mc:AlternateContent xmlns:x12ac="http://schemas.microsoft.com/office/spreadsheetml/2011/1/ac" xmlns:mc="http://schemas.openxmlformats.org/markup-compatibility/2006">
        <mc:Choice Requires="x12ac">
          <x12ac:list>"Fezes macias ou aquosas, com aumento na frequência de evacuação (comumente três vezes, em um período de 24 horas)", Presença de sangue ou muco nas fezes.</x12ac:list>
        </mc:Choice>
        <mc:Fallback>
          <formula1>"Fezes macias ou aquosas, com aumento na frequência de evacuação (comumente três vezes, em um período de 24 horas), Presença de sangue ou muco nas fezes."</formula1>
        </mc:Fallback>
      </mc:AlternateContent>
    </dataValidation>
    <dataValidation type="list" allowBlank="1" showInputMessage="1" showErrorMessage="1" sqref="C6" xr:uid="{00000000-0002-0000-0B00-000002000000}">
      <formula1>"Paciente NÃO está incapacitado para realizar atividades diárias, O sinal/sintoma compromete a realização das atividades diárias"</formula1>
    </dataValidation>
    <dataValidation type="list" allowBlank="1" showInputMessage="1" showErrorMessage="1" sqref="C7" xr:uid="{00000000-0002-0000-0B00-000003000000}">
      <formula1>"Estresse e/ou alterações de alimentação, Diarreia que se desenvolve após viagem recente e evolui com outros sinais/sintomas de alerta. Suspeita de ingestão de alimento contaminado"</formula1>
    </dataValidation>
    <dataValidation type="list" allowBlank="1" showInputMessage="1" showErrorMessage="1" sqref="C8" xr:uid="{00000000-0002-0000-0B00-000004000000}">
      <mc:AlternateContent xmlns:x12ac="http://schemas.microsoft.com/office/spreadsheetml/2011/1/ac" xmlns:mc="http://schemas.openxmlformats.org/markup-compatibility/2006">
        <mc:Choice Requires="x12ac">
          <x12ac:list>"Pode agravar com dieta rica em alimentos gordurosos, condimentados e hiperosmolares", Diarreia em resposta a alimentos específicos (encaminhar para investigar possíveis intolerâncias)</x12ac:list>
        </mc:Choice>
        <mc:Fallback>
          <formula1>"Pode agravar com dieta rica em alimentos gordurosos, condimentados e hiperosmolares, Diarreia em resposta a alimentos específicos (encaminhar para investigar possíveis intolerâncias)"</formula1>
        </mc:Fallback>
      </mc:AlternateContent>
    </dataValidation>
    <dataValidation type="list" allowBlank="1" showInputMessage="1" showErrorMessage="1" sqref="C9" xr:uid="{00000000-0002-0000-0B00-000005000000}">
      <mc:AlternateContent xmlns:x12ac="http://schemas.microsoft.com/office/spreadsheetml/2011/1/ac" xmlns:mc="http://schemas.openxmlformats.org/markup-compatibility/2006">
        <mc:Choice Requires="x12ac">
          <x12ac:list>"Dor abdominal e/ou cólica leve a moderada, distensão abdominal, flatulência e/ou fraqueza"," Diarreia alternada com constipação, vômitos frequentes, dor muscular e de cabeça intensas, febre, perda de peso importante"</x12ac:list>
        </mc:Choice>
        <mc:Fallback>
          <formula1>"Dor abdominal e/ou cólica leve a moderada, distensão abdominal, flatulência e/ou fraqueza, Diarreia alternada com constipação, vômitos frequentes, dor muscular e de cabeça intensas, febre, perda de peso importante"</formula1>
        </mc:Fallback>
      </mc:AlternateContent>
    </dataValidation>
    <dataValidation type="list" allowBlank="1" showInputMessage="1" showErrorMessage="1" sqref="C10" xr:uid="{00000000-0002-0000-0B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&lt; 2 anos, gestantes e lactantes, idosos frageis"</x12ac:list>
        </mc:Choice>
        <mc:Fallback>
          <formula1>"Sem características de alerta, Crianças &lt; 2 anos, gestantes e lactantes, idosos frageis"</formula1>
        </mc:Fallback>
      </mc:AlternateContent>
    </dataValidation>
    <dataValidation type="list" allowBlank="1" showInputMessage="1" showErrorMessage="1" sqref="C11" xr:uid="{00000000-0002-0000-0B00-000007000000}">
      <formula1>"Nenhuma condição de saúde que predispõe ou agrava o sinal/sintoma, Doença inflamatória intestinal e/ou síndrome do intestino irritável não responsivo ao tratamento."</formula1>
    </dataValidation>
    <dataValidation type="list" allowBlank="1" showInputMessage="1" showErrorMessage="1" sqref="C12" xr:uid="{00000000-0002-0000-0B00-000008000000}">
      <formula1>"Medicamentos com potencial de indução de diarreia, Tratamento prévio com falha terapêutica ou aparecimento de reações adversas. Histórico de uso recorrente de antibiótico"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2:F100"/>
  <sheetViews>
    <sheetView showGridLines="0" workbookViewId="0">
      <selection activeCell="C2" sqref="C2"/>
    </sheetView>
  </sheetViews>
  <sheetFormatPr defaultRowHeight="15" x14ac:dyDescent="0.25"/>
  <cols>
    <col min="1" max="1" width="17.7109375" customWidth="1"/>
    <col min="2" max="2" width="82.42578125" bestFit="1" customWidth="1"/>
    <col min="3" max="3" width="75.85546875" bestFit="1" customWidth="1"/>
    <col min="4" max="4" width="14.7109375" bestFit="1" customWidth="1"/>
    <col min="5" max="5" width="80.5703125" bestFit="1" customWidth="1"/>
    <col min="6" max="6" width="50.42578125" customWidth="1"/>
  </cols>
  <sheetData>
    <row r="2" spans="1:6" ht="43.5" customHeight="1" x14ac:dyDescent="0.5">
      <c r="A2" t="e" vm="1">
        <v>#VALUE!</v>
      </c>
      <c r="B2" s="13" t="s">
        <v>440</v>
      </c>
    </row>
    <row r="4" spans="1:6" x14ac:dyDescent="0.25">
      <c r="B4" s="6" t="s">
        <v>388</v>
      </c>
      <c r="C4" s="5" t="s">
        <v>441</v>
      </c>
      <c r="D4" s="102"/>
    </row>
    <row r="5" spans="1:6" x14ac:dyDescent="0.25">
      <c r="B5" s="6" t="s">
        <v>390</v>
      </c>
      <c r="C5" s="5" t="s">
        <v>442</v>
      </c>
      <c r="D5" s="102"/>
    </row>
    <row r="6" spans="1:6" x14ac:dyDescent="0.25">
      <c r="B6" s="6" t="s">
        <v>392</v>
      </c>
      <c r="C6" s="5" t="s">
        <v>393</v>
      </c>
      <c r="D6" s="102"/>
    </row>
    <row r="7" spans="1:6" x14ac:dyDescent="0.25">
      <c r="B7" s="6" t="s">
        <v>394</v>
      </c>
      <c r="C7" s="5" t="s">
        <v>443</v>
      </c>
      <c r="D7" s="102"/>
    </row>
    <row r="8" spans="1:6" ht="30" x14ac:dyDescent="0.25">
      <c r="B8" s="6" t="s">
        <v>396</v>
      </c>
      <c r="C8" s="5" t="s">
        <v>444</v>
      </c>
      <c r="D8" s="102"/>
    </row>
    <row r="9" spans="1:6" ht="30" x14ac:dyDescent="0.25">
      <c r="B9" s="6" t="s">
        <v>398</v>
      </c>
      <c r="C9" s="5" t="s">
        <v>445</v>
      </c>
      <c r="D9" s="102"/>
    </row>
    <row r="10" spans="1:6" x14ac:dyDescent="0.25">
      <c r="B10" s="6" t="s">
        <v>400</v>
      </c>
      <c r="C10" s="5" t="s">
        <v>401</v>
      </c>
      <c r="D10" s="102"/>
    </row>
    <row r="11" spans="1:6" x14ac:dyDescent="0.25">
      <c r="B11" s="6" t="s">
        <v>402</v>
      </c>
      <c r="C11" s="5" t="s">
        <v>446</v>
      </c>
      <c r="D11" s="102"/>
    </row>
    <row r="12" spans="1:6" ht="45.6" customHeight="1" x14ac:dyDescent="0.25">
      <c r="B12" s="5" t="s">
        <v>404</v>
      </c>
      <c r="C12" s="5" t="s">
        <v>405</v>
      </c>
      <c r="D12" s="102"/>
    </row>
    <row r="14" spans="1:6" x14ac:dyDescent="0.25">
      <c r="A14" s="98" t="s">
        <v>406</v>
      </c>
      <c r="B14" s="99"/>
      <c r="C14" s="99"/>
      <c r="D14" s="99"/>
      <c r="E14" s="99"/>
    </row>
    <row r="15" spans="1:6" x14ac:dyDescent="0.25">
      <c r="A15" s="100" t="s">
        <v>407</v>
      </c>
      <c r="B15" s="100" t="s">
        <v>78</v>
      </c>
      <c r="C15" s="100" t="s">
        <v>408</v>
      </c>
      <c r="D15" s="100" t="s">
        <v>409</v>
      </c>
      <c r="E15" s="100" t="s">
        <v>81</v>
      </c>
    </row>
    <row r="16" spans="1:6" s="61" customFormat="1" x14ac:dyDescent="0.25">
      <c r="A16" s="59" t="s">
        <v>103</v>
      </c>
      <c r="B16" s="59" t="s">
        <v>105</v>
      </c>
      <c r="C16" s="59" t="s">
        <v>106</v>
      </c>
      <c r="D16" s="59" t="s">
        <v>93</v>
      </c>
      <c r="E16" s="60" t="s">
        <v>107</v>
      </c>
      <c r="F16" s="62"/>
    </row>
    <row r="17" spans="1:5" x14ac:dyDescent="0.25">
      <c r="A17" s="101" t="s">
        <v>108</v>
      </c>
      <c r="B17" s="101" t="s">
        <v>105</v>
      </c>
      <c r="C17" s="101" t="s">
        <v>115</v>
      </c>
      <c r="D17" s="101" t="s">
        <v>93</v>
      </c>
      <c r="E17" s="101" t="s">
        <v>116</v>
      </c>
    </row>
    <row r="18" spans="1:5" s="58" customFormat="1" x14ac:dyDescent="0.25">
      <c r="A18" s="57" t="s">
        <v>83</v>
      </c>
      <c r="B18" s="57" t="s">
        <v>85</v>
      </c>
      <c r="C18" s="57" t="s">
        <v>86</v>
      </c>
      <c r="D18" s="57" t="s">
        <v>87</v>
      </c>
      <c r="E18" s="57" t="s">
        <v>88</v>
      </c>
    </row>
    <row r="19" spans="1:5" s="58" customFormat="1" x14ac:dyDescent="0.25">
      <c r="A19" s="57" t="s">
        <v>83</v>
      </c>
      <c r="B19" s="57" t="s">
        <v>85</v>
      </c>
      <c r="C19" s="57" t="s">
        <v>89</v>
      </c>
      <c r="D19" s="57" t="s">
        <v>90</v>
      </c>
      <c r="E19" s="57" t="s">
        <v>91</v>
      </c>
    </row>
    <row r="20" spans="1:5" s="58" customFormat="1" x14ac:dyDescent="0.25">
      <c r="A20" s="57" t="s">
        <v>83</v>
      </c>
      <c r="B20" s="57" t="s">
        <v>85</v>
      </c>
      <c r="C20" s="57" t="s">
        <v>92</v>
      </c>
      <c r="D20" s="57" t="s">
        <v>93</v>
      </c>
      <c r="E20" s="57" t="s">
        <v>94</v>
      </c>
    </row>
    <row r="21" spans="1:5" s="58" customFormat="1" x14ac:dyDescent="0.25">
      <c r="A21" s="57" t="s">
        <v>83</v>
      </c>
      <c r="B21" s="57" t="s">
        <v>85</v>
      </c>
      <c r="C21" s="57" t="s">
        <v>96</v>
      </c>
      <c r="D21" s="57" t="s">
        <v>97</v>
      </c>
      <c r="E21" s="57" t="s">
        <v>98</v>
      </c>
    </row>
    <row r="22" spans="1:5" s="58" customFormat="1" x14ac:dyDescent="0.25">
      <c r="A22" s="58" t="s">
        <v>83</v>
      </c>
      <c r="B22" s="58" t="s">
        <v>85</v>
      </c>
      <c r="C22" s="58" t="s">
        <v>100</v>
      </c>
      <c r="D22" s="58" t="s">
        <v>87</v>
      </c>
      <c r="E22" s="58" t="s">
        <v>101</v>
      </c>
    </row>
    <row r="23" spans="1:5" x14ac:dyDescent="0.25">
      <c r="A23" s="99"/>
      <c r="B23" s="99"/>
      <c r="C23" s="99"/>
      <c r="D23" s="99"/>
      <c r="E23" s="99"/>
    </row>
    <row r="24" spans="1:5" x14ac:dyDescent="0.25">
      <c r="A24" s="99"/>
      <c r="B24" s="99"/>
      <c r="C24" s="99"/>
      <c r="D24" s="99"/>
      <c r="E24" s="99"/>
    </row>
    <row r="25" spans="1:5" x14ac:dyDescent="0.25">
      <c r="A25" s="99"/>
      <c r="B25" s="99"/>
      <c r="C25" s="99"/>
      <c r="D25" s="99"/>
      <c r="E25" s="99"/>
    </row>
    <row r="26" spans="1:5" x14ac:dyDescent="0.25">
      <c r="A26" s="99"/>
      <c r="B26" s="99"/>
      <c r="C26" s="99"/>
      <c r="D26" s="99"/>
      <c r="E26" s="99"/>
    </row>
    <row r="27" spans="1:5" x14ac:dyDescent="0.25">
      <c r="A27" s="99"/>
      <c r="B27" s="99"/>
      <c r="C27" s="99"/>
      <c r="D27" s="99"/>
      <c r="E27" s="99"/>
    </row>
    <row r="28" spans="1:5" x14ac:dyDescent="0.25">
      <c r="A28" s="99"/>
      <c r="B28" s="99"/>
      <c r="C28" s="99"/>
      <c r="D28" s="99"/>
      <c r="E28" s="99"/>
    </row>
    <row r="29" spans="1:5" x14ac:dyDescent="0.25">
      <c r="A29" s="99"/>
      <c r="B29" s="99"/>
      <c r="C29" s="99"/>
      <c r="D29" s="99"/>
      <c r="E29" s="99"/>
    </row>
    <row r="30" spans="1:5" x14ac:dyDescent="0.25">
      <c r="A30" s="99"/>
      <c r="B30" s="99"/>
      <c r="C30" s="99"/>
      <c r="D30" s="99"/>
      <c r="E30" s="99"/>
    </row>
    <row r="31" spans="1:5" x14ac:dyDescent="0.25">
      <c r="A31" s="99"/>
      <c r="B31" s="99"/>
      <c r="C31" s="99"/>
      <c r="D31" s="99"/>
      <c r="E31" s="99"/>
    </row>
    <row r="32" spans="1:5" x14ac:dyDescent="0.25">
      <c r="A32" s="99"/>
      <c r="B32" s="99"/>
      <c r="C32" s="99"/>
      <c r="D32" s="99"/>
      <c r="E32" s="99"/>
    </row>
    <row r="33" spans="1:5" x14ac:dyDescent="0.25">
      <c r="A33" s="99"/>
      <c r="B33" s="99"/>
      <c r="C33" s="99"/>
      <c r="D33" s="99"/>
      <c r="E33" s="99"/>
    </row>
    <row r="34" spans="1:5" x14ac:dyDescent="0.25">
      <c r="A34" s="99"/>
      <c r="B34" s="99"/>
      <c r="C34" s="99"/>
      <c r="D34" s="99"/>
      <c r="E34" s="99"/>
    </row>
    <row r="35" spans="1:5" x14ac:dyDescent="0.25">
      <c r="A35" s="99"/>
      <c r="B35" s="99"/>
      <c r="C35" s="99"/>
      <c r="D35" s="99"/>
      <c r="E35" s="99"/>
    </row>
    <row r="36" spans="1:5" x14ac:dyDescent="0.25">
      <c r="A36" s="99"/>
      <c r="B36" s="99"/>
      <c r="C36" s="99"/>
      <c r="D36" s="99"/>
      <c r="E36" s="99"/>
    </row>
    <row r="37" spans="1:5" x14ac:dyDescent="0.25">
      <c r="A37" s="99"/>
      <c r="B37" s="99"/>
      <c r="C37" s="99"/>
      <c r="D37" s="99"/>
      <c r="E37" s="99"/>
    </row>
    <row r="38" spans="1:5" x14ac:dyDescent="0.25">
      <c r="A38" s="99"/>
      <c r="B38" s="99"/>
      <c r="C38" s="99"/>
      <c r="D38" s="99"/>
      <c r="E38" s="99"/>
    </row>
    <row r="39" spans="1:5" x14ac:dyDescent="0.25">
      <c r="A39" s="99"/>
      <c r="B39" s="99"/>
      <c r="C39" s="99"/>
      <c r="D39" s="99"/>
      <c r="E39" s="99"/>
    </row>
    <row r="40" spans="1:5" x14ac:dyDescent="0.25">
      <c r="A40" s="99"/>
      <c r="B40" s="99"/>
      <c r="C40" s="99"/>
      <c r="D40" s="99"/>
      <c r="E40" s="99"/>
    </row>
    <row r="41" spans="1:5" x14ac:dyDescent="0.25">
      <c r="A41" s="99"/>
      <c r="B41" s="99"/>
      <c r="C41" s="99"/>
      <c r="D41" s="99"/>
      <c r="E41" s="99"/>
    </row>
    <row r="42" spans="1:5" x14ac:dyDescent="0.25">
      <c r="A42" s="99"/>
      <c r="B42" s="99"/>
      <c r="C42" s="99"/>
      <c r="D42" s="99"/>
      <c r="E42" s="99"/>
    </row>
    <row r="43" spans="1:5" x14ac:dyDescent="0.25">
      <c r="A43" s="99"/>
      <c r="B43" s="99"/>
      <c r="C43" s="99"/>
      <c r="D43" s="99"/>
      <c r="E43" s="99"/>
    </row>
    <row r="44" spans="1:5" x14ac:dyDescent="0.25">
      <c r="A44" s="99"/>
      <c r="B44" s="99"/>
      <c r="C44" s="99"/>
      <c r="D44" s="99"/>
      <c r="E44" s="99"/>
    </row>
    <row r="45" spans="1:5" x14ac:dyDescent="0.25">
      <c r="A45" s="99"/>
      <c r="B45" s="99"/>
      <c r="C45" s="99"/>
      <c r="D45" s="99"/>
      <c r="E45" s="99"/>
    </row>
    <row r="46" spans="1:5" x14ac:dyDescent="0.25">
      <c r="A46" s="99"/>
      <c r="B46" s="99"/>
      <c r="C46" s="99"/>
      <c r="D46" s="99"/>
      <c r="E46" s="99"/>
    </row>
    <row r="47" spans="1:5" x14ac:dyDescent="0.25">
      <c r="A47" s="99"/>
      <c r="B47" s="99"/>
      <c r="C47" s="99"/>
      <c r="D47" s="99"/>
      <c r="E47" s="99"/>
    </row>
    <row r="48" spans="1:5" x14ac:dyDescent="0.25">
      <c r="A48" s="99"/>
      <c r="B48" s="99"/>
      <c r="C48" s="99"/>
      <c r="D48" s="99"/>
      <c r="E48" s="99"/>
    </row>
    <row r="49" spans="1:5" x14ac:dyDescent="0.25">
      <c r="A49" s="99"/>
      <c r="B49" s="99"/>
      <c r="C49" s="99"/>
      <c r="D49" s="99"/>
      <c r="E49" s="99"/>
    </row>
    <row r="50" spans="1:5" x14ac:dyDescent="0.25">
      <c r="A50" s="99"/>
      <c r="B50" s="99"/>
      <c r="C50" s="99"/>
      <c r="D50" s="99"/>
      <c r="E50" s="99"/>
    </row>
    <row r="51" spans="1:5" x14ac:dyDescent="0.25">
      <c r="A51" s="99"/>
      <c r="B51" s="99"/>
      <c r="C51" s="99"/>
      <c r="D51" s="99"/>
      <c r="E51" s="99"/>
    </row>
    <row r="52" spans="1:5" x14ac:dyDescent="0.25">
      <c r="A52" s="99"/>
      <c r="B52" s="99"/>
      <c r="C52" s="99"/>
      <c r="D52" s="99"/>
      <c r="E52" s="99"/>
    </row>
    <row r="53" spans="1:5" x14ac:dyDescent="0.25">
      <c r="A53" s="99"/>
      <c r="B53" s="99"/>
      <c r="C53" s="99"/>
      <c r="D53" s="99"/>
      <c r="E53" s="99"/>
    </row>
    <row r="54" spans="1:5" x14ac:dyDescent="0.25">
      <c r="A54" s="99"/>
      <c r="B54" s="99"/>
      <c r="C54" s="99"/>
      <c r="D54" s="99"/>
      <c r="E54" s="99"/>
    </row>
    <row r="55" spans="1:5" x14ac:dyDescent="0.25">
      <c r="A55" s="99"/>
      <c r="B55" s="99"/>
      <c r="C55" s="99"/>
      <c r="D55" s="99"/>
      <c r="E55" s="99"/>
    </row>
    <row r="56" spans="1:5" x14ac:dyDescent="0.25">
      <c r="A56" s="99"/>
      <c r="B56" s="99"/>
      <c r="C56" s="99"/>
      <c r="D56" s="99"/>
      <c r="E56" s="99"/>
    </row>
    <row r="57" spans="1:5" x14ac:dyDescent="0.25">
      <c r="A57" s="99"/>
      <c r="B57" s="99"/>
      <c r="C57" s="99"/>
      <c r="D57" s="99"/>
      <c r="E57" s="99"/>
    </row>
    <row r="58" spans="1:5" x14ac:dyDescent="0.25">
      <c r="A58" s="99"/>
      <c r="B58" s="99"/>
      <c r="C58" s="99"/>
      <c r="D58" s="99"/>
      <c r="E58" s="99"/>
    </row>
    <row r="59" spans="1:5" x14ac:dyDescent="0.25">
      <c r="A59" s="99"/>
      <c r="B59" s="99"/>
      <c r="C59" s="99"/>
      <c r="D59" s="99"/>
      <c r="E59" s="99"/>
    </row>
    <row r="60" spans="1:5" x14ac:dyDescent="0.25">
      <c r="A60" s="99"/>
      <c r="B60" s="99"/>
      <c r="C60" s="99"/>
      <c r="D60" s="99"/>
      <c r="E60" s="99"/>
    </row>
    <row r="61" spans="1:5" x14ac:dyDescent="0.25">
      <c r="A61" s="99"/>
      <c r="B61" s="99"/>
      <c r="C61" s="99"/>
      <c r="D61" s="99"/>
      <c r="E61" s="99"/>
    </row>
    <row r="62" spans="1:5" x14ac:dyDescent="0.25">
      <c r="A62" s="99"/>
      <c r="B62" s="99"/>
      <c r="C62" s="99"/>
      <c r="D62" s="99"/>
      <c r="E62" s="99"/>
    </row>
    <row r="63" spans="1:5" x14ac:dyDescent="0.25">
      <c r="A63" s="99"/>
      <c r="B63" s="99"/>
      <c r="C63" s="99"/>
      <c r="D63" s="99"/>
      <c r="E63" s="99"/>
    </row>
    <row r="64" spans="1:5" x14ac:dyDescent="0.25">
      <c r="A64" s="99"/>
      <c r="B64" s="99"/>
      <c r="C64" s="99"/>
      <c r="D64" s="99"/>
      <c r="E64" s="99"/>
    </row>
    <row r="65" spans="1:5" x14ac:dyDescent="0.25">
      <c r="A65" s="99"/>
      <c r="B65" s="99"/>
      <c r="C65" s="99"/>
      <c r="D65" s="99"/>
      <c r="E65" s="99"/>
    </row>
    <row r="66" spans="1:5" x14ac:dyDescent="0.25">
      <c r="A66" s="99"/>
      <c r="B66" s="99"/>
      <c r="C66" s="99"/>
      <c r="D66" s="99"/>
      <c r="E66" s="99"/>
    </row>
    <row r="67" spans="1:5" x14ac:dyDescent="0.25">
      <c r="A67" s="99"/>
      <c r="B67" s="99"/>
      <c r="C67" s="99"/>
      <c r="D67" s="99"/>
      <c r="E67" s="99"/>
    </row>
    <row r="68" spans="1:5" x14ac:dyDescent="0.25">
      <c r="A68" s="99"/>
      <c r="B68" s="99"/>
      <c r="C68" s="99"/>
      <c r="D68" s="99"/>
      <c r="E68" s="99"/>
    </row>
    <row r="69" spans="1:5" x14ac:dyDescent="0.25">
      <c r="A69" s="99"/>
      <c r="B69" s="99"/>
      <c r="C69" s="99"/>
      <c r="D69" s="99"/>
      <c r="E69" s="99"/>
    </row>
    <row r="70" spans="1:5" x14ac:dyDescent="0.25">
      <c r="A70" s="99"/>
      <c r="B70" s="99"/>
      <c r="C70" s="99"/>
      <c r="D70" s="99"/>
      <c r="E70" s="99"/>
    </row>
    <row r="71" spans="1:5" x14ac:dyDescent="0.25">
      <c r="A71" s="99"/>
      <c r="B71" s="99"/>
      <c r="C71" s="99"/>
      <c r="D71" s="99"/>
      <c r="E71" s="99"/>
    </row>
    <row r="72" spans="1:5" x14ac:dyDescent="0.25">
      <c r="A72" s="99"/>
      <c r="B72" s="99"/>
      <c r="C72" s="99"/>
      <c r="D72" s="99"/>
      <c r="E72" s="99"/>
    </row>
    <row r="73" spans="1:5" x14ac:dyDescent="0.25">
      <c r="A73" s="99"/>
      <c r="B73" s="99"/>
      <c r="C73" s="99"/>
      <c r="D73" s="99"/>
      <c r="E73" s="99"/>
    </row>
    <row r="74" spans="1:5" x14ac:dyDescent="0.25">
      <c r="A74" s="99"/>
      <c r="B74" s="99"/>
      <c r="C74" s="99"/>
      <c r="D74" s="99"/>
      <c r="E74" s="99"/>
    </row>
    <row r="75" spans="1:5" x14ac:dyDescent="0.25">
      <c r="A75" s="99"/>
      <c r="B75" s="99"/>
      <c r="C75" s="99"/>
      <c r="D75" s="99"/>
      <c r="E75" s="99"/>
    </row>
    <row r="76" spans="1:5" x14ac:dyDescent="0.25">
      <c r="A76" s="99"/>
      <c r="B76" s="99"/>
      <c r="C76" s="99"/>
      <c r="D76" s="99"/>
      <c r="E76" s="99"/>
    </row>
    <row r="77" spans="1:5" x14ac:dyDescent="0.25">
      <c r="A77" s="99"/>
      <c r="B77" s="99"/>
      <c r="C77" s="99"/>
      <c r="D77" s="99"/>
      <c r="E77" s="99"/>
    </row>
    <row r="78" spans="1:5" x14ac:dyDescent="0.25">
      <c r="A78" s="99"/>
      <c r="B78" s="99"/>
      <c r="C78" s="99"/>
      <c r="D78" s="99"/>
      <c r="E78" s="99"/>
    </row>
    <row r="79" spans="1:5" x14ac:dyDescent="0.25">
      <c r="A79" s="99"/>
      <c r="B79" s="99"/>
      <c r="C79" s="99"/>
      <c r="D79" s="99"/>
      <c r="E79" s="99"/>
    </row>
    <row r="80" spans="1:5" x14ac:dyDescent="0.25">
      <c r="A80" s="99"/>
      <c r="B80" s="99"/>
      <c r="C80" s="99"/>
      <c r="D80" s="99"/>
      <c r="E80" s="99"/>
    </row>
    <row r="81" spans="1:5" x14ac:dyDescent="0.25">
      <c r="A81" s="99"/>
      <c r="B81" s="99"/>
      <c r="C81" s="99"/>
      <c r="D81" s="99"/>
      <c r="E81" s="99"/>
    </row>
    <row r="82" spans="1:5" x14ac:dyDescent="0.25">
      <c r="A82" s="99"/>
      <c r="B82" s="99"/>
      <c r="C82" s="99"/>
      <c r="D82" s="99"/>
      <c r="E82" s="99"/>
    </row>
    <row r="83" spans="1:5" x14ac:dyDescent="0.25">
      <c r="A83" s="99"/>
      <c r="B83" s="99"/>
      <c r="C83" s="99"/>
      <c r="D83" s="99"/>
      <c r="E83" s="99"/>
    </row>
    <row r="84" spans="1:5" x14ac:dyDescent="0.25">
      <c r="A84" s="99"/>
      <c r="B84" s="99"/>
      <c r="C84" s="99"/>
      <c r="D84" s="99"/>
      <c r="E84" s="99"/>
    </row>
    <row r="85" spans="1:5" x14ac:dyDescent="0.25">
      <c r="A85" s="99"/>
      <c r="B85" s="99"/>
      <c r="C85" s="99"/>
      <c r="D85" s="99"/>
      <c r="E85" s="99"/>
    </row>
    <row r="86" spans="1:5" x14ac:dyDescent="0.25">
      <c r="A86" s="99"/>
      <c r="B86" s="99"/>
      <c r="C86" s="99"/>
      <c r="D86" s="99"/>
      <c r="E86" s="99"/>
    </row>
    <row r="87" spans="1:5" x14ac:dyDescent="0.25">
      <c r="A87" s="99"/>
      <c r="B87" s="99"/>
      <c r="C87" s="99"/>
      <c r="D87" s="99"/>
      <c r="E87" s="99"/>
    </row>
    <row r="88" spans="1:5" x14ac:dyDescent="0.25">
      <c r="A88" s="99"/>
      <c r="B88" s="99"/>
      <c r="C88" s="99"/>
      <c r="D88" s="99"/>
      <c r="E88" s="99"/>
    </row>
    <row r="89" spans="1:5" x14ac:dyDescent="0.25">
      <c r="A89" s="99"/>
      <c r="B89" s="99"/>
      <c r="C89" s="99"/>
      <c r="D89" s="99"/>
      <c r="E89" s="99"/>
    </row>
    <row r="90" spans="1:5" x14ac:dyDescent="0.25">
      <c r="A90" s="99"/>
      <c r="B90" s="99"/>
      <c r="C90" s="99"/>
      <c r="D90" s="99"/>
      <c r="E90" s="99"/>
    </row>
    <row r="91" spans="1:5" x14ac:dyDescent="0.25">
      <c r="A91" s="99"/>
      <c r="B91" s="99"/>
      <c r="C91" s="99"/>
      <c r="D91" s="99"/>
      <c r="E91" s="99"/>
    </row>
    <row r="92" spans="1:5" x14ac:dyDescent="0.25">
      <c r="A92" s="99"/>
      <c r="B92" s="99"/>
      <c r="C92" s="99"/>
      <c r="D92" s="99"/>
      <c r="E92" s="99"/>
    </row>
    <row r="93" spans="1:5" x14ac:dyDescent="0.25">
      <c r="A93" s="99"/>
      <c r="B93" s="99"/>
      <c r="C93" s="99"/>
      <c r="D93" s="99"/>
      <c r="E93" s="99"/>
    </row>
    <row r="94" spans="1:5" x14ac:dyDescent="0.25">
      <c r="A94" s="99"/>
      <c r="B94" s="99"/>
      <c r="C94" s="99"/>
      <c r="D94" s="99"/>
      <c r="E94" s="99"/>
    </row>
    <row r="95" spans="1:5" x14ac:dyDescent="0.25">
      <c r="A95" s="99"/>
      <c r="B95" s="99"/>
      <c r="C95" s="99"/>
      <c r="D95" s="99"/>
      <c r="E95" s="99"/>
    </row>
    <row r="96" spans="1:5" x14ac:dyDescent="0.25">
      <c r="A96" s="99"/>
      <c r="B96" s="99"/>
      <c r="C96" s="99"/>
      <c r="D96" s="99"/>
      <c r="E96" s="99"/>
    </row>
    <row r="97" spans="1:5" x14ac:dyDescent="0.25">
      <c r="A97" s="99"/>
      <c r="B97" s="99"/>
      <c r="C97" s="99"/>
      <c r="D97" s="99"/>
      <c r="E97" s="99"/>
    </row>
    <row r="98" spans="1:5" x14ac:dyDescent="0.25">
      <c r="A98" s="99"/>
      <c r="B98" s="99"/>
      <c r="C98" s="99"/>
      <c r="D98" s="99"/>
      <c r="E98" s="99"/>
    </row>
    <row r="99" spans="1:5" x14ac:dyDescent="0.25">
      <c r="A99" s="99"/>
      <c r="B99" s="99"/>
      <c r="C99" s="99"/>
      <c r="D99" s="99"/>
      <c r="E99" s="99"/>
    </row>
    <row r="100" spans="1:5" x14ac:dyDescent="0.25">
      <c r="A100" s="99"/>
      <c r="B100" s="99"/>
      <c r="C100" s="99"/>
      <c r="D100" s="99"/>
      <c r="E100" s="99"/>
    </row>
  </sheetData>
  <dataValidations count="9">
    <dataValidation type="list" allowBlank="1" showInputMessage="1" showErrorMessage="1" sqref="C4" xr:uid="{00000000-0002-0000-0C00-000000000000}">
      <formula1>"&lt; 3 semanas, ≥ 3 semanas."</formula1>
    </dataValidation>
    <dataValidation type="list" allowBlank="1" showInputMessage="1" showErrorMessage="1" sqref="C5" xr:uid="{00000000-0002-0000-0C00-000001000000}">
      <mc:AlternateContent xmlns:x12ac="http://schemas.microsoft.com/office/spreadsheetml/2011/1/ac" xmlns:mc="http://schemas.openxmlformats.org/markup-compatibility/2006">
        <mc:Choice Requires="x12ac">
          <x12ac:list>Tosse produtiva ou seca," Tosse com aspecto purulento, de coloração amarelada, esverdeada ou marrom, com presença de sangue e/ou com odor fétido."</x12ac:list>
        </mc:Choice>
        <mc:Fallback>
          <formula1>"Tosse produtiva ou seca, Tosse com aspecto purulento, de coloração amarelada, esverdeada ou marrom, com presença de sangue e/ou com odor fétido."</formula1>
        </mc:Fallback>
      </mc:AlternateContent>
    </dataValidation>
    <dataValidation type="list" allowBlank="1" showInputMessage="1" showErrorMessage="1" sqref="C6" xr:uid="{00000000-0002-0000-0C00-000002000000}">
      <formula1>"Paciente NÃO está incapacitado para realizar atividades diárias, O sinal/sintoma incapacita para a realização das atividades diárias."</formula1>
    </dataValidation>
    <dataValidation type="list" allowBlank="1" showInputMessage="1" showErrorMessage="1" sqref="C7" xr:uid="{00000000-0002-0000-0C00-000003000000}">
      <mc:AlternateContent xmlns:x12ac="http://schemas.microsoft.com/office/spreadsheetml/2011/1/ac" xmlns:mc="http://schemas.openxmlformats.org/markup-compatibility/2006">
        <mc:Choice Requires="x12ac">
          <x12ac:list>"Tosse associada à ambientes ricos em alérgenos (ex. pólen, ácaros, poluição)", Tosse noturna recorrente. Tosse seca que piora ao deitar</x12ac:list>
        </mc:Choice>
        <mc:Fallback>
          <formula1>"Tosse associada à ambientes ricos em alérgenos (ex. pólen, ácaros, poluição), Tosse noturna recorrente. Tosse seca que piora ao deitar"</formula1>
        </mc:Fallback>
      </mc:AlternateContent>
    </dataValidation>
    <dataValidation type="list" allowBlank="1" showInputMessage="1" showErrorMessage="1" sqref="C8" xr:uid="{00000000-0002-0000-0C00-000004000000}">
      <mc:AlternateContent xmlns:x12ac="http://schemas.microsoft.com/office/spreadsheetml/2011/1/ac" xmlns:mc="http://schemas.openxmlformats.org/markup-compatibility/2006">
        <mc:Choice Requires="x12ac">
          <x12ac:list>"O sinal/sintoma pode ser agravado por alimentos condimentados, pela poluição, pelo frio ou calor excessivo, e por outros compostos químicos irritantes", O sinal/sintoma pode se agravar nas mesmas situações presentes na tosse de caráter autolimitado</x12ac:list>
        </mc:Choice>
        <mc:Fallback>
          <formula1>"O sinal/sintoma pode ser agravado por alimentos condimentados, pela poluição, pelo frio ou calor excessivo, e por outros compostos químicos irritantes, O sinal/sintoma pode se agravar nas mesmas situações presentes na tosse de caráter autolimitado"</formula1>
        </mc:Fallback>
      </mc:AlternateContent>
    </dataValidation>
    <dataValidation type="list" allowBlank="1" showInputMessage="1" showErrorMessage="1" sqref="C9" xr:uid="{00000000-0002-0000-0C00-000005000000}">
      <mc:AlternateContent xmlns:x12ac="http://schemas.microsoft.com/office/spreadsheetml/2011/1/ac" xmlns:mc="http://schemas.openxmlformats.org/markup-compatibility/2006">
        <mc:Choice Requires="x12ac">
          <x12ac:list>"Espirros, congestão nasal e/ou febre de natureza autolimitada (vide os respectivos algoritmos)"," • Dispneia, sensação de “aperto” ou dor no peito, sibilância, fadiga, febre, hemoptise, rouquidão, anorexia"</x12ac:list>
        </mc:Choice>
        <mc:Fallback>
          <formula1>"Espirros, congestão nasal e/ou febre de natureza autolimitada (vide os respectivos algoritmos), • Dispneia, sensação de “aperto” ou dor no peito, sibilância, fadiga, febre, hemoptise, rouquidão, anorexia"</formula1>
        </mc:Fallback>
      </mc:AlternateContent>
    </dataValidation>
    <dataValidation type="list" allowBlank="1" showInputMessage="1" showErrorMessage="1" sqref="C10" xr:uid="{00000000-0002-0000-0C00-000006000000}">
      <mc:AlternateContent xmlns:x12ac="http://schemas.microsoft.com/office/spreadsheetml/2011/1/ac" xmlns:mc="http://schemas.openxmlformats.org/markup-compatibility/2006">
        <mc:Choice Requires="x12ac">
          <x12ac:list>Sem características de alerta," Crianças (&lt; 2 anos), gestantes ou lactantes, pacientes acamados ou imunocomprometido, idosos com &lt; 75 anos, idosos frágeis"</x12ac:list>
        </mc:Choice>
        <mc:Fallback>
          <formula1>"Sem características de alerta, Crianças (&lt; 2 anos), gestantes ou lactantes, pacientes acamados ou imunocomprometido, idosos com &lt; 75 anos, idosos frágeis"</formula1>
        </mc:Fallback>
      </mc:AlternateContent>
    </dataValidation>
    <dataValidation type="list" allowBlank="1" showInputMessage="1" showErrorMessage="1" sqref="C11" xr:uid="{00000000-0002-0000-0C00-000007000000}">
      <formula1>"Paciente com histórico de rinite alérgica na vigência da crise, Histórico de infecções pulmonares frequentes."</formula1>
    </dataValidation>
    <dataValidation type="list" allowBlank="1" showInputMessage="1" showErrorMessage="1" sqref="C12" xr:uid="{00000000-0002-0000-0C00-000008000000}">
      <mc:AlternateContent xmlns:x12ac="http://schemas.microsoft.com/office/spreadsheetml/2011/1/ac" xmlns:mc="http://schemas.openxmlformats.org/markup-compatibility/2006">
        <mc:Choice Requires="x12ac">
          <x12ac:list>Sem histórico relevante," Uso de medicamentos que podem causar tosse, como por exemplo inibidores da ECA*. Ausência de melhora depois de 7 dias do tratamento farmacológico adequado."</x12ac:list>
        </mc:Choice>
        <mc:Fallback>
          <formula1>"Sem histórico relevante, Uso de medicamentos que podem causar tosse, como por exemplo inibidores da ECA*. Ausência de melhora depois de 7 dias do tratamento farmacológico adequado."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3" name="Option Button 5">
              <controlPr defaultSize="0" autoFill="0" autoLine="0" autoPict="0" macro="[0]!GerarDiagnostico_Diarreia">
                <anchor moveWithCells="1">
                  <from>
                    <xdr:col>2</xdr:col>
                    <xdr:colOff>619125</xdr:colOff>
                    <xdr:row>1</xdr:row>
                    <xdr:rowOff>152400</xdr:rowOff>
                  </from>
                  <to>
                    <xdr:col>2</xdr:col>
                    <xdr:colOff>1695450</xdr:colOff>
                    <xdr:row>1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E86C-A3B8-434B-B88E-6567D6FB2133}">
  <sheetPr codeName="Planilha17">
    <pageSetUpPr fitToPage="1"/>
  </sheetPr>
  <dimension ref="A1:Z1000"/>
  <sheetViews>
    <sheetView showGridLines="0" zoomScale="77" zoomScaleNormal="70" workbookViewId="0">
      <selection activeCell="R20" sqref="R20"/>
    </sheetView>
  </sheetViews>
  <sheetFormatPr defaultRowHeight="15" x14ac:dyDescent="0.25"/>
  <cols>
    <col min="3" max="3" width="23.85546875" bestFit="1" customWidth="1"/>
  </cols>
  <sheetData>
    <row r="1" spans="1:26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36"/>
      <c r="P1" s="16"/>
      <c r="Q1" s="16"/>
      <c r="R1" s="16"/>
      <c r="S1" s="16"/>
      <c r="T1" s="16"/>
      <c r="U1" s="16"/>
      <c r="V1" s="16"/>
      <c r="W1" s="16"/>
      <c r="X1" s="16"/>
      <c r="Y1" s="16"/>
      <c r="Z1" s="21"/>
    </row>
    <row r="2" spans="1:26" ht="29.25" x14ac:dyDescent="0.4">
      <c r="A2" s="95" t="s">
        <v>447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25"/>
      <c r="P2" s="18"/>
      <c r="Q2" s="18"/>
      <c r="R2" s="18"/>
      <c r="S2" s="18"/>
      <c r="T2" s="18"/>
      <c r="U2" s="18"/>
      <c r="V2" s="18"/>
      <c r="W2" s="18"/>
      <c r="X2" s="18"/>
      <c r="Y2" s="18"/>
      <c r="Z2" s="22"/>
    </row>
    <row r="3" spans="1:26" ht="20.25" x14ac:dyDescent="0.3">
      <c r="A3" s="96" t="s">
        <v>448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25"/>
      <c r="P3" s="18"/>
      <c r="Q3" s="18"/>
      <c r="R3" s="18"/>
      <c r="S3" s="18"/>
      <c r="T3" s="18"/>
      <c r="U3" s="18"/>
      <c r="V3" s="18"/>
      <c r="W3" s="18"/>
      <c r="X3" s="18"/>
      <c r="Y3" s="18"/>
      <c r="Z3" s="22"/>
    </row>
    <row r="4" spans="1:26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5"/>
      <c r="P4" s="18"/>
      <c r="Q4" s="18"/>
      <c r="R4" s="18"/>
      <c r="S4" s="18"/>
      <c r="T4" s="18"/>
      <c r="U4" s="18"/>
      <c r="V4" s="18"/>
      <c r="W4" s="18"/>
      <c r="X4" s="18"/>
      <c r="Y4" s="18"/>
      <c r="Z4" s="22"/>
    </row>
    <row r="5" spans="1:26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5"/>
      <c r="P5" s="18"/>
      <c r="Q5" s="18"/>
      <c r="R5" s="18"/>
      <c r="S5" s="18"/>
      <c r="T5" s="18"/>
      <c r="U5" s="18"/>
      <c r="V5" s="18"/>
      <c r="W5" s="18"/>
      <c r="X5" s="18"/>
      <c r="Y5" s="18"/>
      <c r="Z5" s="22"/>
    </row>
    <row r="6" spans="1:26" ht="16.5" x14ac:dyDescent="0.25">
      <c r="A6" s="92" t="s">
        <v>449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4"/>
      <c r="O6" s="25"/>
      <c r="P6" s="18"/>
      <c r="Q6" s="18"/>
      <c r="R6" s="18"/>
      <c r="S6" s="18"/>
      <c r="T6" s="18"/>
      <c r="U6" s="18"/>
      <c r="V6" s="18"/>
      <c r="W6" s="18"/>
      <c r="X6" s="18"/>
      <c r="Y6" s="18"/>
      <c r="Z6" s="22"/>
    </row>
    <row r="7" spans="1:26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5"/>
      <c r="P7" s="18"/>
      <c r="Q7" s="18"/>
      <c r="R7" s="18"/>
      <c r="S7" s="18"/>
      <c r="T7" s="18"/>
      <c r="U7" s="18"/>
      <c r="V7" s="18"/>
      <c r="W7" s="18"/>
      <c r="X7" s="18"/>
      <c r="Y7" s="18"/>
      <c r="Z7" s="22"/>
    </row>
    <row r="8" spans="1:26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5"/>
      <c r="P8" s="18"/>
      <c r="Q8" s="18"/>
      <c r="R8" s="18"/>
      <c r="S8" s="18"/>
      <c r="T8" s="18"/>
      <c r="U8" s="18"/>
      <c r="V8" s="18"/>
      <c r="W8" s="18"/>
      <c r="X8" s="18"/>
      <c r="Y8" s="18"/>
      <c r="Z8" s="22"/>
    </row>
    <row r="9" spans="1:26" ht="16.5" x14ac:dyDescent="0.25">
      <c r="A9" s="29"/>
      <c r="B9" s="37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5"/>
      <c r="P9" s="18"/>
      <c r="Q9" s="18"/>
      <c r="R9" s="18"/>
      <c r="S9" s="18"/>
      <c r="T9" s="18"/>
      <c r="U9" s="18"/>
      <c r="V9" s="18"/>
      <c r="W9" s="18"/>
      <c r="X9" s="18"/>
      <c r="Y9" s="18"/>
      <c r="Z9" s="22"/>
    </row>
    <row r="10" spans="1:26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5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22"/>
    </row>
    <row r="11" spans="1:26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5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22"/>
    </row>
    <row r="12" spans="1:26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5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2"/>
    </row>
    <row r="13" spans="1:26" ht="19.5" x14ac:dyDescent="0.3">
      <c r="A13" s="29"/>
      <c r="B13" s="38" t="s">
        <v>450</v>
      </c>
      <c r="C13" s="39">
        <f ca="1">NOW()</f>
        <v>45966.889436689817</v>
      </c>
      <c r="D13" s="38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5"/>
      <c r="P13" s="28"/>
      <c r="Q13" s="18"/>
      <c r="R13" s="18"/>
      <c r="S13" s="18"/>
      <c r="T13" s="18"/>
      <c r="U13" s="18"/>
      <c r="V13" s="18"/>
      <c r="W13" s="18"/>
      <c r="X13" s="18"/>
      <c r="Y13" s="18"/>
      <c r="Z13" s="22"/>
    </row>
    <row r="14" spans="1:26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4"/>
      <c r="P14" s="29"/>
      <c r="Q14" s="25"/>
      <c r="R14" s="18"/>
      <c r="S14" s="18"/>
      <c r="T14" s="18"/>
      <c r="U14" s="18"/>
      <c r="V14" s="18"/>
      <c r="W14" s="18"/>
      <c r="X14" s="18"/>
      <c r="Y14" s="18"/>
      <c r="Z14" s="22"/>
    </row>
    <row r="15" spans="1:26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5"/>
      <c r="P15" s="27"/>
      <c r="Q15" s="18"/>
      <c r="R15" s="18"/>
      <c r="S15" s="18"/>
      <c r="T15" s="18"/>
      <c r="U15" s="18"/>
      <c r="V15" s="18"/>
      <c r="W15" s="18"/>
      <c r="X15" s="18"/>
      <c r="Y15" s="18"/>
      <c r="Z15" s="22"/>
    </row>
    <row r="16" spans="1:26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5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22"/>
    </row>
    <row r="17" spans="1:26" ht="18" x14ac:dyDescent="0.25">
      <c r="A17" s="29"/>
      <c r="B17" s="40" t="s">
        <v>451</v>
      </c>
      <c r="D17" s="41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5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22"/>
    </row>
    <row r="18" spans="1:26" ht="19.5" x14ac:dyDescent="0.3">
      <c r="A18" s="29"/>
      <c r="B18" s="29"/>
      <c r="C18" s="77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5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22"/>
    </row>
    <row r="19" spans="1:26" ht="19.5" x14ac:dyDescent="0.3">
      <c r="A19" s="29"/>
      <c r="B19" s="29"/>
      <c r="C19" s="77" t="s">
        <v>105</v>
      </c>
      <c r="D19" s="29"/>
      <c r="E19" s="77"/>
      <c r="F19" s="29"/>
      <c r="G19" s="29"/>
      <c r="H19" s="29"/>
      <c r="I19" s="29"/>
      <c r="J19" s="29"/>
      <c r="K19" s="29"/>
      <c r="L19" s="29"/>
      <c r="M19" s="29"/>
      <c r="N19" s="29"/>
      <c r="O19" s="25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22"/>
    </row>
    <row r="20" spans="1:26" ht="19.5" x14ac:dyDescent="0.3">
      <c r="A20" s="29"/>
      <c r="B20" s="29"/>
      <c r="C20" s="77" t="s">
        <v>142</v>
      </c>
      <c r="D20" s="29"/>
      <c r="E20" s="77"/>
      <c r="F20" s="29"/>
      <c r="G20" s="29"/>
      <c r="H20" s="29"/>
      <c r="I20" s="29"/>
      <c r="J20" s="29"/>
      <c r="K20" s="29"/>
      <c r="L20" s="29"/>
      <c r="M20" s="29"/>
      <c r="N20" s="29"/>
      <c r="O20" s="25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22"/>
    </row>
    <row r="21" spans="1:26" ht="19.5" x14ac:dyDescent="0.3">
      <c r="A21" s="29"/>
      <c r="B21" s="29"/>
      <c r="C21" s="77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5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22"/>
    </row>
    <row r="22" spans="1:26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5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22"/>
    </row>
    <row r="23" spans="1:26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5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22"/>
    </row>
    <row r="24" spans="1:26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5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22"/>
    </row>
    <row r="25" spans="1:26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5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22"/>
    </row>
    <row r="26" spans="1:26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5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22"/>
    </row>
    <row r="27" spans="1:26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5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22"/>
    </row>
    <row r="28" spans="1:26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5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22"/>
    </row>
    <row r="29" spans="1:26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5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22"/>
    </row>
    <row r="30" spans="1:26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5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22"/>
    </row>
    <row r="31" spans="1:26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5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22"/>
    </row>
    <row r="32" spans="1:26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5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22"/>
    </row>
    <row r="33" spans="1:26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5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22"/>
    </row>
    <row r="34" spans="1:26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5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22"/>
    </row>
    <row r="35" spans="1:26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5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22"/>
    </row>
    <row r="36" spans="1:26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5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22"/>
    </row>
    <row r="37" spans="1:26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5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22"/>
    </row>
    <row r="38" spans="1:26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5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22"/>
    </row>
    <row r="39" spans="1:26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5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22"/>
    </row>
    <row r="40" spans="1:26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5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22"/>
    </row>
    <row r="41" spans="1:26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5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22"/>
    </row>
    <row r="42" spans="1:26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5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22"/>
    </row>
    <row r="43" spans="1:26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5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22"/>
    </row>
    <row r="44" spans="1:26" x14ac:dyDescent="0.25">
      <c r="A44" s="29"/>
      <c r="B44" s="29"/>
      <c r="D44" s="42"/>
      <c r="E44" s="42"/>
      <c r="F44" s="42"/>
      <c r="H44" s="42"/>
      <c r="I44" s="42"/>
      <c r="J44" s="42"/>
      <c r="L44" s="29"/>
      <c r="M44" s="29"/>
      <c r="N44" s="29"/>
      <c r="O44" s="25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22"/>
    </row>
    <row r="45" spans="1:26" ht="16.5" x14ac:dyDescent="0.25">
      <c r="A45" s="29"/>
      <c r="B45" s="29"/>
      <c r="C45" s="29"/>
      <c r="D45" s="29"/>
      <c r="F45" s="80"/>
      <c r="H45" s="80"/>
      <c r="J45" s="29"/>
      <c r="K45" s="29"/>
      <c r="L45" s="29"/>
      <c r="M45" s="29"/>
      <c r="N45" s="29"/>
      <c r="O45" s="25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22"/>
    </row>
    <row r="46" spans="1:26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5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22"/>
    </row>
    <row r="47" spans="1:26" x14ac:dyDescent="0.25">
      <c r="A47" s="29"/>
      <c r="B47" s="29"/>
      <c r="C47" s="29"/>
      <c r="L47" s="29"/>
      <c r="M47" s="29"/>
      <c r="N47" s="29"/>
      <c r="O47" s="25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22"/>
    </row>
    <row r="48" spans="1:26" x14ac:dyDescent="0.25">
      <c r="A48" s="29"/>
      <c r="B48" s="29"/>
      <c r="C48" s="29"/>
      <c r="D48" s="29"/>
      <c r="E48" s="29"/>
      <c r="J48" s="29"/>
      <c r="K48" s="29"/>
      <c r="L48" s="29"/>
      <c r="M48" s="29"/>
      <c r="N48" s="29"/>
      <c r="O48" s="25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22"/>
    </row>
    <row r="49" spans="1:26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5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22"/>
    </row>
    <row r="50" spans="1:26" x14ac:dyDescent="0.25">
      <c r="A50" s="29"/>
      <c r="B50" s="29"/>
      <c r="C50" s="29"/>
      <c r="L50" s="29"/>
      <c r="M50" s="29"/>
      <c r="N50" s="29"/>
      <c r="O50" s="25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22"/>
    </row>
    <row r="51" spans="1:26" ht="16.5" customHeight="1" x14ac:dyDescent="0.25">
      <c r="A51" s="29"/>
      <c r="B51" s="29"/>
      <c r="C51" s="29"/>
      <c r="D51" s="43"/>
      <c r="E51" s="29"/>
      <c r="J51" s="29"/>
      <c r="K51" s="29"/>
      <c r="L51" s="29"/>
      <c r="M51" s="29"/>
      <c r="N51" s="29"/>
      <c r="O51" s="25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22"/>
    </row>
    <row r="52" spans="1:26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5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22"/>
    </row>
    <row r="53" spans="1:26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5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22"/>
    </row>
    <row r="54" spans="1:26" x14ac:dyDescent="0.25">
      <c r="A54" s="29"/>
      <c r="B54" s="29"/>
      <c r="C54" s="29"/>
      <c r="D54" s="29"/>
      <c r="E54" s="29"/>
      <c r="F54" s="29"/>
      <c r="H54" s="29"/>
      <c r="I54" s="29"/>
      <c r="J54" s="29"/>
      <c r="K54" s="29"/>
      <c r="L54" s="29"/>
      <c r="M54" s="29"/>
      <c r="N54" s="29"/>
      <c r="O54" s="25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22"/>
    </row>
    <row r="55" spans="1:26" x14ac:dyDescent="0.25">
      <c r="A55" s="29"/>
      <c r="B55" s="29"/>
      <c r="C55" s="29"/>
      <c r="D55" s="29"/>
      <c r="E55" s="29"/>
      <c r="F55" s="29"/>
      <c r="H55" s="29"/>
      <c r="I55" s="29"/>
      <c r="J55" s="29"/>
      <c r="K55" s="29"/>
      <c r="L55" s="29"/>
      <c r="M55" s="29"/>
      <c r="N55" s="29"/>
      <c r="O55" s="25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22"/>
    </row>
    <row r="56" spans="1:26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5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22"/>
    </row>
    <row r="57" spans="1:26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5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22"/>
    </row>
    <row r="58" spans="1:26" x14ac:dyDescent="0.25">
      <c r="A58" s="29"/>
      <c r="B58" s="29"/>
      <c r="C58" s="29"/>
      <c r="D58" s="29"/>
      <c r="E58" s="29"/>
      <c r="F58" s="29"/>
      <c r="G58" s="42" t="s">
        <v>452</v>
      </c>
      <c r="H58" s="29"/>
      <c r="I58" s="29"/>
      <c r="J58" s="29"/>
      <c r="K58" s="29"/>
      <c r="L58" s="29"/>
      <c r="M58" s="29"/>
      <c r="N58" s="29"/>
      <c r="O58" s="25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22"/>
    </row>
    <row r="59" spans="1:26" ht="16.5" x14ac:dyDescent="0.25">
      <c r="A59" s="29"/>
      <c r="B59" s="29"/>
      <c r="C59" s="29"/>
      <c r="D59" s="29"/>
      <c r="E59" s="29"/>
      <c r="F59" s="29"/>
      <c r="G59" s="80" t="s">
        <v>453</v>
      </c>
      <c r="H59" s="29"/>
      <c r="I59" s="29"/>
      <c r="J59" s="29"/>
      <c r="K59" s="29"/>
      <c r="L59" s="29"/>
      <c r="M59" s="29"/>
      <c r="N59" s="29"/>
      <c r="O59" s="25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22"/>
    </row>
    <row r="60" spans="1:26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5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22"/>
    </row>
    <row r="61" spans="1:26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5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22"/>
    </row>
    <row r="62" spans="1:26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5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22"/>
    </row>
    <row r="63" spans="1:26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5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22"/>
    </row>
    <row r="64" spans="1:26" x14ac:dyDescent="0.2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5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22"/>
    </row>
    <row r="65" spans="1:26" x14ac:dyDescent="0.2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5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22"/>
    </row>
    <row r="66" spans="1:26" x14ac:dyDescent="0.2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5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22"/>
    </row>
    <row r="67" spans="1:26" x14ac:dyDescent="0.2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5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22"/>
    </row>
    <row r="68" spans="1:26" x14ac:dyDescent="0.2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5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22"/>
    </row>
    <row r="69" spans="1:26" x14ac:dyDescent="0.2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5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22"/>
    </row>
    <row r="70" spans="1:26" x14ac:dyDescent="0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5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22"/>
    </row>
    <row r="71" spans="1:26" x14ac:dyDescent="0.2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5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22"/>
    </row>
    <row r="72" spans="1:26" x14ac:dyDescent="0.2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5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22"/>
    </row>
    <row r="73" spans="1:26" x14ac:dyDescent="0.25">
      <c r="A73" s="26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22"/>
    </row>
    <row r="74" spans="1:26" x14ac:dyDescent="0.25">
      <c r="A74" s="17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22"/>
    </row>
    <row r="75" spans="1:26" x14ac:dyDescent="0.25">
      <c r="A75" s="17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22"/>
    </row>
    <row r="76" spans="1:26" x14ac:dyDescent="0.25">
      <c r="A76" s="17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22"/>
    </row>
    <row r="77" spans="1:26" x14ac:dyDescent="0.25">
      <c r="A77" s="17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22"/>
    </row>
    <row r="78" spans="1:26" x14ac:dyDescent="0.25">
      <c r="A78" s="17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22"/>
    </row>
    <row r="79" spans="1:26" x14ac:dyDescent="0.25">
      <c r="A79" s="1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22"/>
    </row>
    <row r="80" spans="1:26" x14ac:dyDescent="0.25">
      <c r="A80" s="17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22"/>
    </row>
    <row r="81" spans="1:26" x14ac:dyDescent="0.25">
      <c r="A81" s="17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22"/>
    </row>
    <row r="82" spans="1:26" x14ac:dyDescent="0.25">
      <c r="A82" s="17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22"/>
    </row>
    <row r="83" spans="1:26" x14ac:dyDescent="0.25">
      <c r="A83" s="17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22"/>
    </row>
    <row r="84" spans="1:26" x14ac:dyDescent="0.25">
      <c r="A84" s="17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22"/>
    </row>
    <row r="85" spans="1:26" x14ac:dyDescent="0.25">
      <c r="A85" s="17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22"/>
    </row>
    <row r="86" spans="1:26" x14ac:dyDescent="0.25">
      <c r="A86" s="17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22"/>
    </row>
    <row r="87" spans="1:26" x14ac:dyDescent="0.25">
      <c r="A87" s="17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22"/>
    </row>
    <row r="88" spans="1:26" x14ac:dyDescent="0.25">
      <c r="A88" s="17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22"/>
    </row>
    <row r="89" spans="1:26" x14ac:dyDescent="0.25">
      <c r="A89" s="17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22"/>
    </row>
    <row r="90" spans="1:26" x14ac:dyDescent="0.25">
      <c r="A90" s="17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22"/>
    </row>
    <row r="91" spans="1:26" x14ac:dyDescent="0.25">
      <c r="A91" s="17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22"/>
    </row>
    <row r="92" spans="1:26" x14ac:dyDescent="0.25">
      <c r="A92" s="17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22"/>
    </row>
    <row r="93" spans="1:26" x14ac:dyDescent="0.25">
      <c r="A93" s="17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22"/>
    </row>
    <row r="94" spans="1:26" x14ac:dyDescent="0.25">
      <c r="A94" s="17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22"/>
    </row>
    <row r="95" spans="1:26" x14ac:dyDescent="0.25">
      <c r="A95" s="17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22"/>
    </row>
    <row r="96" spans="1:26" x14ac:dyDescent="0.25">
      <c r="A96" s="17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22"/>
    </row>
    <row r="97" spans="1:26" x14ac:dyDescent="0.25">
      <c r="A97" s="17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22"/>
    </row>
    <row r="98" spans="1:26" x14ac:dyDescent="0.25">
      <c r="A98" s="17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22"/>
    </row>
    <row r="99" spans="1:26" x14ac:dyDescent="0.25">
      <c r="A99" s="17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22"/>
    </row>
    <row r="100" spans="1:26" x14ac:dyDescent="0.25">
      <c r="A100" s="17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22"/>
    </row>
    <row r="101" spans="1:26" x14ac:dyDescent="0.25">
      <c r="A101" s="17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22"/>
    </row>
    <row r="102" spans="1:26" x14ac:dyDescent="0.25">
      <c r="A102" s="17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22"/>
    </row>
    <row r="103" spans="1:26" x14ac:dyDescent="0.25">
      <c r="A103" s="17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22"/>
    </row>
    <row r="104" spans="1:26" x14ac:dyDescent="0.25">
      <c r="A104" s="17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22"/>
    </row>
    <row r="105" spans="1:26" x14ac:dyDescent="0.25">
      <c r="A105" s="17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22"/>
    </row>
    <row r="106" spans="1:26" x14ac:dyDescent="0.25">
      <c r="A106" s="17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22"/>
    </row>
    <row r="107" spans="1:26" x14ac:dyDescent="0.25">
      <c r="A107" s="17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22"/>
    </row>
    <row r="108" spans="1:26" x14ac:dyDescent="0.25">
      <c r="A108" s="17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22"/>
    </row>
    <row r="109" spans="1:26" x14ac:dyDescent="0.25">
      <c r="A109" s="17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22"/>
    </row>
    <row r="110" spans="1:26" x14ac:dyDescent="0.25">
      <c r="A110" s="17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22"/>
    </row>
    <row r="111" spans="1:26" x14ac:dyDescent="0.25">
      <c r="A111" s="17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22"/>
    </row>
    <row r="112" spans="1:26" x14ac:dyDescent="0.25">
      <c r="A112" s="17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22"/>
    </row>
    <row r="113" spans="1:26" x14ac:dyDescent="0.25">
      <c r="A113" s="17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22"/>
    </row>
    <row r="114" spans="1:26" x14ac:dyDescent="0.25">
      <c r="A114" s="17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22"/>
    </row>
    <row r="115" spans="1:26" x14ac:dyDescent="0.25">
      <c r="A115" s="17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22"/>
    </row>
    <row r="116" spans="1:26" x14ac:dyDescent="0.25">
      <c r="A116" s="17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22"/>
    </row>
    <row r="117" spans="1:26" x14ac:dyDescent="0.25">
      <c r="A117" s="17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22"/>
    </row>
    <row r="118" spans="1:26" x14ac:dyDescent="0.25">
      <c r="A118" s="17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22"/>
    </row>
    <row r="119" spans="1:26" x14ac:dyDescent="0.25">
      <c r="A119" s="17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22"/>
    </row>
    <row r="120" spans="1:26" x14ac:dyDescent="0.25">
      <c r="A120" s="17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22"/>
    </row>
    <row r="121" spans="1:26" x14ac:dyDescent="0.25">
      <c r="A121" s="17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22"/>
    </row>
    <row r="122" spans="1:26" x14ac:dyDescent="0.25">
      <c r="A122" s="17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22"/>
    </row>
    <row r="123" spans="1:26" x14ac:dyDescent="0.25">
      <c r="A123" s="17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22"/>
    </row>
    <row r="124" spans="1:26" x14ac:dyDescent="0.25">
      <c r="A124" s="17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22"/>
    </row>
    <row r="125" spans="1:26" x14ac:dyDescent="0.25">
      <c r="A125" s="17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22"/>
    </row>
    <row r="126" spans="1:26" x14ac:dyDescent="0.25">
      <c r="A126" s="17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22"/>
    </row>
    <row r="127" spans="1:26" x14ac:dyDescent="0.25">
      <c r="A127" s="17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22"/>
    </row>
    <row r="128" spans="1:26" x14ac:dyDescent="0.25">
      <c r="A128" s="17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22"/>
    </row>
    <row r="129" spans="1:26" x14ac:dyDescent="0.25">
      <c r="A129" s="17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22"/>
    </row>
    <row r="130" spans="1:26" x14ac:dyDescent="0.25">
      <c r="A130" s="17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22"/>
    </row>
    <row r="131" spans="1:26" x14ac:dyDescent="0.25">
      <c r="A131" s="17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22"/>
    </row>
    <row r="132" spans="1:26" x14ac:dyDescent="0.25">
      <c r="A132" s="17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22"/>
    </row>
    <row r="133" spans="1:26" x14ac:dyDescent="0.25">
      <c r="A133" s="17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22"/>
    </row>
    <row r="134" spans="1:26" x14ac:dyDescent="0.25">
      <c r="A134" s="17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22"/>
    </row>
    <row r="135" spans="1:26" x14ac:dyDescent="0.25">
      <c r="A135" s="17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22"/>
    </row>
    <row r="136" spans="1:26" x14ac:dyDescent="0.25">
      <c r="A136" s="17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22"/>
    </row>
    <row r="137" spans="1:26" x14ac:dyDescent="0.25">
      <c r="A137" s="17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22"/>
    </row>
    <row r="138" spans="1:26" x14ac:dyDescent="0.25">
      <c r="A138" s="17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22"/>
    </row>
    <row r="139" spans="1:26" x14ac:dyDescent="0.25">
      <c r="A139" s="17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22"/>
    </row>
    <row r="140" spans="1:26" x14ac:dyDescent="0.25">
      <c r="A140" s="17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22"/>
    </row>
    <row r="141" spans="1:26" x14ac:dyDescent="0.25">
      <c r="A141" s="17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22"/>
    </row>
    <row r="142" spans="1:26" x14ac:dyDescent="0.25">
      <c r="A142" s="17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22"/>
    </row>
    <row r="143" spans="1:26" x14ac:dyDescent="0.25">
      <c r="A143" s="17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22"/>
    </row>
    <row r="144" spans="1:26" x14ac:dyDescent="0.25">
      <c r="A144" s="17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22"/>
    </row>
    <row r="145" spans="1:26" x14ac:dyDescent="0.25">
      <c r="A145" s="17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22"/>
    </row>
    <row r="146" spans="1:26" x14ac:dyDescent="0.25">
      <c r="A146" s="17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22"/>
    </row>
    <row r="147" spans="1:26" x14ac:dyDescent="0.25">
      <c r="A147" s="17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22"/>
    </row>
    <row r="148" spans="1:26" x14ac:dyDescent="0.25">
      <c r="A148" s="17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22"/>
    </row>
    <row r="149" spans="1:26" x14ac:dyDescent="0.25">
      <c r="A149" s="17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22"/>
    </row>
    <row r="150" spans="1:26" x14ac:dyDescent="0.25">
      <c r="A150" s="17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22"/>
    </row>
    <row r="151" spans="1:26" x14ac:dyDescent="0.25">
      <c r="A151" s="17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22"/>
    </row>
    <row r="152" spans="1:26" x14ac:dyDescent="0.25">
      <c r="A152" s="17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22"/>
    </row>
    <row r="153" spans="1:26" x14ac:dyDescent="0.25">
      <c r="A153" s="17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22"/>
    </row>
    <row r="154" spans="1:26" x14ac:dyDescent="0.25">
      <c r="A154" s="17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22"/>
    </row>
    <row r="155" spans="1:26" x14ac:dyDescent="0.25">
      <c r="A155" s="17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22"/>
    </row>
    <row r="156" spans="1:26" x14ac:dyDescent="0.25">
      <c r="A156" s="17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22"/>
    </row>
    <row r="157" spans="1:26" x14ac:dyDescent="0.25">
      <c r="A157" s="17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22"/>
    </row>
    <row r="158" spans="1:26" x14ac:dyDescent="0.25">
      <c r="A158" s="17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22"/>
    </row>
    <row r="159" spans="1:26" x14ac:dyDescent="0.25">
      <c r="A159" s="17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22"/>
    </row>
    <row r="160" spans="1:26" x14ac:dyDescent="0.25">
      <c r="A160" s="17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22"/>
    </row>
    <row r="161" spans="1:26" x14ac:dyDescent="0.25">
      <c r="A161" s="17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22"/>
    </row>
    <row r="162" spans="1:26" x14ac:dyDescent="0.25">
      <c r="A162" s="17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22"/>
    </row>
    <row r="163" spans="1:26" x14ac:dyDescent="0.25">
      <c r="A163" s="17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22"/>
    </row>
    <row r="164" spans="1:26" x14ac:dyDescent="0.25">
      <c r="A164" s="17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22"/>
    </row>
    <row r="165" spans="1:26" x14ac:dyDescent="0.25">
      <c r="A165" s="17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22"/>
    </row>
    <row r="166" spans="1:26" x14ac:dyDescent="0.25">
      <c r="A166" s="17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22"/>
    </row>
    <row r="167" spans="1:26" x14ac:dyDescent="0.25">
      <c r="A167" s="17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22"/>
    </row>
    <row r="168" spans="1:26" x14ac:dyDescent="0.25">
      <c r="A168" s="17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22"/>
    </row>
    <row r="169" spans="1:26" x14ac:dyDescent="0.25">
      <c r="A169" s="17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22"/>
    </row>
    <row r="170" spans="1:26" x14ac:dyDescent="0.25">
      <c r="A170" s="17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22"/>
    </row>
    <row r="171" spans="1:26" x14ac:dyDescent="0.25">
      <c r="A171" s="17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22"/>
    </row>
    <row r="172" spans="1:26" x14ac:dyDescent="0.25">
      <c r="A172" s="17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22"/>
    </row>
    <row r="173" spans="1:26" x14ac:dyDescent="0.25">
      <c r="A173" s="17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22"/>
    </row>
    <row r="174" spans="1:26" x14ac:dyDescent="0.25">
      <c r="A174" s="17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22"/>
    </row>
    <row r="175" spans="1:26" x14ac:dyDescent="0.25">
      <c r="A175" s="17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22"/>
    </row>
    <row r="176" spans="1:26" x14ac:dyDescent="0.25">
      <c r="A176" s="17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22"/>
    </row>
    <row r="177" spans="1:26" x14ac:dyDescent="0.25">
      <c r="A177" s="17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22"/>
    </row>
    <row r="178" spans="1:26" x14ac:dyDescent="0.25">
      <c r="A178" s="17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22"/>
    </row>
    <row r="179" spans="1:26" x14ac:dyDescent="0.25">
      <c r="A179" s="17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22"/>
    </row>
    <row r="180" spans="1:26" x14ac:dyDescent="0.25">
      <c r="A180" s="17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22"/>
    </row>
    <row r="181" spans="1:26" x14ac:dyDescent="0.25">
      <c r="A181" s="17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22"/>
    </row>
    <row r="182" spans="1:26" x14ac:dyDescent="0.25">
      <c r="A182" s="17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22"/>
    </row>
    <row r="183" spans="1:26" x14ac:dyDescent="0.25">
      <c r="A183" s="17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22"/>
    </row>
    <row r="184" spans="1:26" x14ac:dyDescent="0.25">
      <c r="A184" s="17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22"/>
    </row>
    <row r="185" spans="1:26" x14ac:dyDescent="0.25">
      <c r="A185" s="17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22"/>
    </row>
    <row r="186" spans="1:26" x14ac:dyDescent="0.25">
      <c r="A186" s="17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22"/>
    </row>
    <row r="187" spans="1:26" x14ac:dyDescent="0.25">
      <c r="A187" s="17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22"/>
    </row>
    <row r="188" spans="1:26" x14ac:dyDescent="0.25">
      <c r="A188" s="17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22"/>
    </row>
    <row r="189" spans="1:26" x14ac:dyDescent="0.25">
      <c r="A189" s="17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22"/>
    </row>
    <row r="190" spans="1:26" x14ac:dyDescent="0.25">
      <c r="A190" s="17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22"/>
    </row>
    <row r="191" spans="1:26" x14ac:dyDescent="0.25">
      <c r="A191" s="17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22"/>
    </row>
    <row r="192" spans="1:26" x14ac:dyDescent="0.25">
      <c r="A192" s="17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22"/>
    </row>
    <row r="193" spans="1:26" x14ac:dyDescent="0.25">
      <c r="A193" s="17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22"/>
    </row>
    <row r="194" spans="1:26" x14ac:dyDescent="0.25">
      <c r="A194" s="17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22"/>
    </row>
    <row r="195" spans="1:26" x14ac:dyDescent="0.25">
      <c r="A195" s="17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22"/>
    </row>
    <row r="196" spans="1:26" x14ac:dyDescent="0.25">
      <c r="A196" s="17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22"/>
    </row>
    <row r="197" spans="1:26" x14ac:dyDescent="0.25">
      <c r="A197" s="17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22"/>
    </row>
    <row r="198" spans="1:26" x14ac:dyDescent="0.25">
      <c r="A198" s="17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22"/>
    </row>
    <row r="199" spans="1:26" x14ac:dyDescent="0.25">
      <c r="A199" s="17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22"/>
    </row>
    <row r="200" spans="1:26" x14ac:dyDescent="0.25">
      <c r="A200" s="17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22"/>
    </row>
    <row r="201" spans="1:26" x14ac:dyDescent="0.25">
      <c r="A201" s="17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22"/>
    </row>
    <row r="202" spans="1:26" x14ac:dyDescent="0.25">
      <c r="A202" s="17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22"/>
    </row>
    <row r="203" spans="1:26" x14ac:dyDescent="0.25">
      <c r="A203" s="17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22"/>
    </row>
    <row r="204" spans="1:26" x14ac:dyDescent="0.25">
      <c r="A204" s="17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22"/>
    </row>
    <row r="205" spans="1:26" x14ac:dyDescent="0.25">
      <c r="A205" s="17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22"/>
    </row>
    <row r="206" spans="1:26" x14ac:dyDescent="0.25">
      <c r="A206" s="17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22"/>
    </row>
    <row r="207" spans="1:26" x14ac:dyDescent="0.25">
      <c r="A207" s="17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22"/>
    </row>
    <row r="208" spans="1:26" x14ac:dyDescent="0.25">
      <c r="A208" s="17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22"/>
    </row>
    <row r="209" spans="1:26" x14ac:dyDescent="0.25">
      <c r="A209" s="17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22"/>
    </row>
    <row r="210" spans="1:26" x14ac:dyDescent="0.25">
      <c r="A210" s="17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22"/>
    </row>
    <row r="211" spans="1:26" x14ac:dyDescent="0.25">
      <c r="A211" s="17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22"/>
    </row>
    <row r="212" spans="1:26" x14ac:dyDescent="0.25">
      <c r="A212" s="17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22"/>
    </row>
    <row r="213" spans="1:26" x14ac:dyDescent="0.25">
      <c r="A213" s="17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22"/>
    </row>
    <row r="214" spans="1:26" x14ac:dyDescent="0.25">
      <c r="A214" s="17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22"/>
    </row>
    <row r="215" spans="1:26" x14ac:dyDescent="0.25">
      <c r="A215" s="17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22"/>
    </row>
    <row r="216" spans="1:26" x14ac:dyDescent="0.25">
      <c r="A216" s="17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22"/>
    </row>
    <row r="217" spans="1:26" x14ac:dyDescent="0.25">
      <c r="A217" s="17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22"/>
    </row>
    <row r="218" spans="1:26" x14ac:dyDescent="0.25">
      <c r="A218" s="17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22"/>
    </row>
    <row r="219" spans="1:26" x14ac:dyDescent="0.25">
      <c r="A219" s="17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22"/>
    </row>
    <row r="220" spans="1:26" x14ac:dyDescent="0.25">
      <c r="A220" s="17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22"/>
    </row>
    <row r="221" spans="1:26" x14ac:dyDescent="0.25">
      <c r="A221" s="17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22"/>
    </row>
    <row r="222" spans="1:26" x14ac:dyDescent="0.25">
      <c r="A222" s="17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22"/>
    </row>
    <row r="223" spans="1:26" x14ac:dyDescent="0.25">
      <c r="A223" s="17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22"/>
    </row>
    <row r="224" spans="1:26" x14ac:dyDescent="0.25">
      <c r="A224" s="17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22"/>
    </row>
    <row r="225" spans="1:26" x14ac:dyDescent="0.25">
      <c r="A225" s="17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22"/>
    </row>
    <row r="226" spans="1:26" x14ac:dyDescent="0.25">
      <c r="A226" s="17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22"/>
    </row>
    <row r="227" spans="1:26" x14ac:dyDescent="0.25">
      <c r="A227" s="17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22"/>
    </row>
    <row r="228" spans="1:26" x14ac:dyDescent="0.25">
      <c r="A228" s="17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22"/>
    </row>
    <row r="229" spans="1:26" x14ac:dyDescent="0.25">
      <c r="A229" s="17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22"/>
    </row>
    <row r="230" spans="1:26" x14ac:dyDescent="0.25">
      <c r="A230" s="17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22"/>
    </row>
    <row r="231" spans="1:26" x14ac:dyDescent="0.25">
      <c r="A231" s="17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22"/>
    </row>
    <row r="232" spans="1:26" x14ac:dyDescent="0.25">
      <c r="A232" s="17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22"/>
    </row>
    <row r="233" spans="1:26" x14ac:dyDescent="0.25">
      <c r="A233" s="17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22"/>
    </row>
    <row r="234" spans="1:26" x14ac:dyDescent="0.25">
      <c r="A234" s="17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22"/>
    </row>
    <row r="235" spans="1:26" x14ac:dyDescent="0.25">
      <c r="A235" s="17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22"/>
    </row>
    <row r="236" spans="1:26" x14ac:dyDescent="0.25">
      <c r="A236" s="17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22"/>
    </row>
    <row r="237" spans="1:26" x14ac:dyDescent="0.25">
      <c r="A237" s="17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22"/>
    </row>
    <row r="238" spans="1:26" x14ac:dyDescent="0.25">
      <c r="A238" s="17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22"/>
    </row>
    <row r="239" spans="1:26" x14ac:dyDescent="0.25">
      <c r="A239" s="17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22"/>
    </row>
    <row r="240" spans="1:26" x14ac:dyDescent="0.25">
      <c r="A240" s="17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22"/>
    </row>
    <row r="241" spans="1:26" x14ac:dyDescent="0.25">
      <c r="A241" s="17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22"/>
    </row>
    <row r="242" spans="1:26" x14ac:dyDescent="0.25">
      <c r="A242" s="17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22"/>
    </row>
    <row r="243" spans="1:26" x14ac:dyDescent="0.25">
      <c r="A243" s="17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22"/>
    </row>
    <row r="244" spans="1:26" x14ac:dyDescent="0.25">
      <c r="A244" s="17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22"/>
    </row>
    <row r="245" spans="1:26" x14ac:dyDescent="0.25">
      <c r="A245" s="17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22"/>
    </row>
    <row r="246" spans="1:26" x14ac:dyDescent="0.25">
      <c r="A246" s="17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22"/>
    </row>
    <row r="247" spans="1:26" x14ac:dyDescent="0.25">
      <c r="A247" s="17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22"/>
    </row>
    <row r="248" spans="1:26" x14ac:dyDescent="0.25">
      <c r="A248" s="17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22"/>
    </row>
    <row r="249" spans="1:26" x14ac:dyDescent="0.25">
      <c r="A249" s="17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22"/>
    </row>
    <row r="250" spans="1:26" x14ac:dyDescent="0.25">
      <c r="A250" s="17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22"/>
    </row>
    <row r="251" spans="1:26" x14ac:dyDescent="0.25">
      <c r="A251" s="17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22"/>
    </row>
    <row r="252" spans="1:26" x14ac:dyDescent="0.25">
      <c r="A252" s="17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22"/>
    </row>
    <row r="253" spans="1:26" x14ac:dyDescent="0.25">
      <c r="A253" s="17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22"/>
    </row>
    <row r="254" spans="1:26" x14ac:dyDescent="0.25">
      <c r="A254" s="17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22"/>
    </row>
    <row r="255" spans="1:26" x14ac:dyDescent="0.25">
      <c r="A255" s="17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22"/>
    </row>
    <row r="256" spans="1:26" x14ac:dyDescent="0.25">
      <c r="A256" s="17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22"/>
    </row>
    <row r="257" spans="1:26" x14ac:dyDescent="0.25">
      <c r="A257" s="17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22"/>
    </row>
    <row r="258" spans="1:26" x14ac:dyDescent="0.25">
      <c r="A258" s="17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22"/>
    </row>
    <row r="259" spans="1:26" x14ac:dyDescent="0.25">
      <c r="A259" s="17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22"/>
    </row>
    <row r="260" spans="1:26" x14ac:dyDescent="0.25">
      <c r="A260" s="17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22"/>
    </row>
    <row r="261" spans="1:26" x14ac:dyDescent="0.25">
      <c r="A261" s="17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22"/>
    </row>
    <row r="262" spans="1:26" x14ac:dyDescent="0.25">
      <c r="A262" s="17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22"/>
    </row>
    <row r="263" spans="1:26" x14ac:dyDescent="0.25">
      <c r="A263" s="17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22"/>
    </row>
    <row r="264" spans="1:26" x14ac:dyDescent="0.25">
      <c r="A264" s="17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22"/>
    </row>
    <row r="265" spans="1:26" x14ac:dyDescent="0.25">
      <c r="A265" s="17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22"/>
    </row>
    <row r="266" spans="1:26" x14ac:dyDescent="0.25">
      <c r="A266" s="17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22"/>
    </row>
    <row r="267" spans="1:26" x14ac:dyDescent="0.25">
      <c r="A267" s="17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22"/>
    </row>
    <row r="268" spans="1:26" x14ac:dyDescent="0.25">
      <c r="A268" s="17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22"/>
    </row>
    <row r="269" spans="1:26" x14ac:dyDescent="0.25">
      <c r="A269" s="17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22"/>
    </row>
    <row r="270" spans="1:26" x14ac:dyDescent="0.25">
      <c r="A270" s="17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22"/>
    </row>
    <row r="271" spans="1:26" x14ac:dyDescent="0.25">
      <c r="A271" s="17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22"/>
    </row>
    <row r="272" spans="1:26" x14ac:dyDescent="0.25">
      <c r="A272" s="17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22"/>
    </row>
    <row r="273" spans="1:26" x14ac:dyDescent="0.25">
      <c r="A273" s="17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22"/>
    </row>
    <row r="274" spans="1:26" x14ac:dyDescent="0.25">
      <c r="A274" s="17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22"/>
    </row>
    <row r="275" spans="1:26" x14ac:dyDescent="0.25">
      <c r="A275" s="17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22"/>
    </row>
    <row r="276" spans="1:26" x14ac:dyDescent="0.25">
      <c r="A276" s="17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22"/>
    </row>
    <row r="277" spans="1:26" x14ac:dyDescent="0.25">
      <c r="A277" s="17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22"/>
    </row>
    <row r="278" spans="1:26" x14ac:dyDescent="0.25">
      <c r="A278" s="17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22"/>
    </row>
    <row r="279" spans="1:26" x14ac:dyDescent="0.25">
      <c r="A279" s="17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22"/>
    </row>
    <row r="280" spans="1:26" x14ac:dyDescent="0.25">
      <c r="A280" s="17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22"/>
    </row>
    <row r="281" spans="1:26" x14ac:dyDescent="0.25">
      <c r="A281" s="17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22"/>
    </row>
    <row r="282" spans="1:26" x14ac:dyDescent="0.25">
      <c r="A282" s="17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22"/>
    </row>
    <row r="283" spans="1:26" x14ac:dyDescent="0.25">
      <c r="A283" s="17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22"/>
    </row>
    <row r="284" spans="1:26" x14ac:dyDescent="0.25">
      <c r="A284" s="17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22"/>
    </row>
    <row r="285" spans="1:26" x14ac:dyDescent="0.25">
      <c r="A285" s="17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22"/>
    </row>
    <row r="286" spans="1:26" x14ac:dyDescent="0.25">
      <c r="A286" s="17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22"/>
    </row>
    <row r="287" spans="1:26" x14ac:dyDescent="0.25">
      <c r="A287" s="17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22"/>
    </row>
    <row r="288" spans="1:26" x14ac:dyDescent="0.25">
      <c r="A288" s="17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22"/>
    </row>
    <row r="289" spans="1:26" x14ac:dyDescent="0.25">
      <c r="A289" s="17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22"/>
    </row>
    <row r="290" spans="1:26" x14ac:dyDescent="0.25">
      <c r="A290" s="17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22"/>
    </row>
    <row r="291" spans="1:26" x14ac:dyDescent="0.25">
      <c r="A291" s="17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22"/>
    </row>
    <row r="292" spans="1:26" x14ac:dyDescent="0.25">
      <c r="A292" s="17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22"/>
    </row>
    <row r="293" spans="1:26" x14ac:dyDescent="0.25">
      <c r="A293" s="17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22"/>
    </row>
    <row r="294" spans="1:26" x14ac:dyDescent="0.25">
      <c r="A294" s="17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22"/>
    </row>
    <row r="295" spans="1:26" x14ac:dyDescent="0.25">
      <c r="A295" s="17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22"/>
    </row>
    <row r="296" spans="1:26" x14ac:dyDescent="0.25">
      <c r="A296" s="17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22"/>
    </row>
    <row r="297" spans="1:26" x14ac:dyDescent="0.25">
      <c r="A297" s="17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22"/>
    </row>
    <row r="298" spans="1:26" x14ac:dyDescent="0.25">
      <c r="A298" s="17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22"/>
    </row>
    <row r="299" spans="1:26" x14ac:dyDescent="0.25">
      <c r="A299" s="17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22"/>
    </row>
    <row r="300" spans="1:26" x14ac:dyDescent="0.25">
      <c r="A300" s="17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22"/>
    </row>
    <row r="301" spans="1:26" x14ac:dyDescent="0.25">
      <c r="A301" s="17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22"/>
    </row>
    <row r="302" spans="1:26" x14ac:dyDescent="0.25">
      <c r="A302" s="17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22"/>
    </row>
    <row r="303" spans="1:26" x14ac:dyDescent="0.25">
      <c r="A303" s="17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22"/>
    </row>
    <row r="304" spans="1:26" x14ac:dyDescent="0.25">
      <c r="A304" s="17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22"/>
    </row>
    <row r="305" spans="1:26" x14ac:dyDescent="0.25">
      <c r="A305" s="17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22"/>
    </row>
    <row r="306" spans="1:26" x14ac:dyDescent="0.25">
      <c r="A306" s="17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22"/>
    </row>
    <row r="307" spans="1:26" x14ac:dyDescent="0.25">
      <c r="A307" s="17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22"/>
    </row>
    <row r="308" spans="1:26" x14ac:dyDescent="0.25">
      <c r="A308" s="17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22"/>
    </row>
    <row r="309" spans="1:26" x14ac:dyDescent="0.25">
      <c r="A309" s="17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22"/>
    </row>
    <row r="310" spans="1:26" x14ac:dyDescent="0.25">
      <c r="A310" s="17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22"/>
    </row>
    <row r="311" spans="1:26" x14ac:dyDescent="0.25">
      <c r="A311" s="17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22"/>
    </row>
    <row r="312" spans="1:26" x14ac:dyDescent="0.25">
      <c r="A312" s="17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22"/>
    </row>
    <row r="313" spans="1:26" x14ac:dyDescent="0.25">
      <c r="A313" s="17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22"/>
    </row>
    <row r="314" spans="1:26" x14ac:dyDescent="0.25">
      <c r="A314" s="17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22"/>
    </row>
    <row r="315" spans="1:26" x14ac:dyDescent="0.25">
      <c r="A315" s="17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22"/>
    </row>
    <row r="316" spans="1:26" x14ac:dyDescent="0.25">
      <c r="A316" s="17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22"/>
    </row>
    <row r="317" spans="1:26" x14ac:dyDescent="0.25">
      <c r="A317" s="17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22"/>
    </row>
    <row r="318" spans="1:26" x14ac:dyDescent="0.25">
      <c r="A318" s="17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22"/>
    </row>
    <row r="319" spans="1:26" x14ac:dyDescent="0.25">
      <c r="A319" s="17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22"/>
    </row>
    <row r="320" spans="1:26" x14ac:dyDescent="0.25">
      <c r="A320" s="17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22"/>
    </row>
    <row r="321" spans="1:26" x14ac:dyDescent="0.25">
      <c r="A321" s="17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22"/>
    </row>
    <row r="322" spans="1:26" x14ac:dyDescent="0.25">
      <c r="A322" s="17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22"/>
    </row>
    <row r="323" spans="1:26" x14ac:dyDescent="0.25">
      <c r="A323" s="17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22"/>
    </row>
    <row r="324" spans="1:26" x14ac:dyDescent="0.25">
      <c r="A324" s="17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22"/>
    </row>
    <row r="325" spans="1:26" x14ac:dyDescent="0.25">
      <c r="A325" s="17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22"/>
    </row>
    <row r="326" spans="1:26" x14ac:dyDescent="0.25">
      <c r="A326" s="17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22"/>
    </row>
    <row r="327" spans="1:26" x14ac:dyDescent="0.25">
      <c r="A327" s="17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22"/>
    </row>
    <row r="328" spans="1:26" x14ac:dyDescent="0.25">
      <c r="A328" s="17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22"/>
    </row>
    <row r="329" spans="1:26" x14ac:dyDescent="0.25">
      <c r="A329" s="17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22"/>
    </row>
    <row r="330" spans="1:26" x14ac:dyDescent="0.25">
      <c r="A330" s="17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22"/>
    </row>
    <row r="331" spans="1:26" x14ac:dyDescent="0.25">
      <c r="A331" s="17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22"/>
    </row>
    <row r="332" spans="1:26" x14ac:dyDescent="0.25">
      <c r="A332" s="17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22"/>
    </row>
    <row r="333" spans="1:26" x14ac:dyDescent="0.25">
      <c r="A333" s="17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22"/>
    </row>
    <row r="334" spans="1:26" x14ac:dyDescent="0.25">
      <c r="A334" s="17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22"/>
    </row>
    <row r="335" spans="1:26" x14ac:dyDescent="0.25">
      <c r="A335" s="17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22"/>
    </row>
    <row r="336" spans="1:26" x14ac:dyDescent="0.25">
      <c r="A336" s="17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22"/>
    </row>
    <row r="337" spans="1:26" x14ac:dyDescent="0.25">
      <c r="A337" s="17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22"/>
    </row>
    <row r="338" spans="1:26" x14ac:dyDescent="0.25">
      <c r="A338" s="17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22"/>
    </row>
    <row r="339" spans="1:26" x14ac:dyDescent="0.25">
      <c r="A339" s="17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22"/>
    </row>
    <row r="340" spans="1:26" x14ac:dyDescent="0.25">
      <c r="A340" s="17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22"/>
    </row>
    <row r="341" spans="1:26" x14ac:dyDescent="0.25">
      <c r="A341" s="17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22"/>
    </row>
    <row r="342" spans="1:26" x14ac:dyDescent="0.25">
      <c r="A342" s="17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22"/>
    </row>
    <row r="343" spans="1:26" x14ac:dyDescent="0.25">
      <c r="A343" s="17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22"/>
    </row>
    <row r="344" spans="1:26" x14ac:dyDescent="0.25">
      <c r="A344" s="17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22"/>
    </row>
    <row r="345" spans="1:26" x14ac:dyDescent="0.25">
      <c r="A345" s="17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22"/>
    </row>
    <row r="346" spans="1:26" x14ac:dyDescent="0.25">
      <c r="A346" s="17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22"/>
    </row>
    <row r="347" spans="1:26" x14ac:dyDescent="0.25">
      <c r="A347" s="17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22"/>
    </row>
    <row r="348" spans="1:26" x14ac:dyDescent="0.25">
      <c r="A348" s="17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22"/>
    </row>
    <row r="349" spans="1:26" x14ac:dyDescent="0.25">
      <c r="A349" s="17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22"/>
    </row>
    <row r="350" spans="1:26" x14ac:dyDescent="0.25">
      <c r="A350" s="17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22"/>
    </row>
    <row r="351" spans="1:26" x14ac:dyDescent="0.25">
      <c r="A351" s="17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22"/>
    </row>
    <row r="352" spans="1:26" x14ac:dyDescent="0.25">
      <c r="A352" s="17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22"/>
    </row>
    <row r="353" spans="1:26" x14ac:dyDescent="0.25">
      <c r="A353" s="17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22"/>
    </row>
    <row r="354" spans="1:26" x14ac:dyDescent="0.25">
      <c r="A354" s="17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22"/>
    </row>
    <row r="355" spans="1:26" x14ac:dyDescent="0.25">
      <c r="A355" s="17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22"/>
    </row>
    <row r="356" spans="1:26" x14ac:dyDescent="0.25">
      <c r="A356" s="17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22"/>
    </row>
    <row r="357" spans="1:26" x14ac:dyDescent="0.25">
      <c r="A357" s="17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22"/>
    </row>
    <row r="358" spans="1:26" x14ac:dyDescent="0.25">
      <c r="A358" s="17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22"/>
    </row>
    <row r="359" spans="1:26" x14ac:dyDescent="0.25">
      <c r="A359" s="17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22"/>
    </row>
    <row r="360" spans="1:26" x14ac:dyDescent="0.25">
      <c r="A360" s="17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22"/>
    </row>
    <row r="361" spans="1:26" x14ac:dyDescent="0.25">
      <c r="A361" s="17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22"/>
    </row>
    <row r="362" spans="1:26" x14ac:dyDescent="0.25">
      <c r="A362" s="17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22"/>
    </row>
    <row r="363" spans="1:26" x14ac:dyDescent="0.25">
      <c r="A363" s="17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22"/>
    </row>
    <row r="364" spans="1:26" x14ac:dyDescent="0.25">
      <c r="A364" s="17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22"/>
    </row>
    <row r="365" spans="1:26" x14ac:dyDescent="0.25">
      <c r="A365" s="17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22"/>
    </row>
    <row r="366" spans="1:26" x14ac:dyDescent="0.25">
      <c r="A366" s="17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22"/>
    </row>
    <row r="367" spans="1:26" x14ac:dyDescent="0.25">
      <c r="A367" s="17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22"/>
    </row>
    <row r="368" spans="1:26" x14ac:dyDescent="0.25">
      <c r="A368" s="17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22"/>
    </row>
    <row r="369" spans="1:26" x14ac:dyDescent="0.25">
      <c r="A369" s="17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22"/>
    </row>
    <row r="370" spans="1:26" x14ac:dyDescent="0.25">
      <c r="A370" s="17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22"/>
    </row>
    <row r="371" spans="1:26" x14ac:dyDescent="0.25">
      <c r="A371" s="17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22"/>
    </row>
    <row r="372" spans="1:26" x14ac:dyDescent="0.25">
      <c r="A372" s="17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22"/>
    </row>
    <row r="373" spans="1:26" x14ac:dyDescent="0.25">
      <c r="A373" s="17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22"/>
    </row>
    <row r="374" spans="1:26" x14ac:dyDescent="0.25">
      <c r="A374" s="17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22"/>
    </row>
    <row r="375" spans="1:26" x14ac:dyDescent="0.25">
      <c r="A375" s="17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22"/>
    </row>
    <row r="376" spans="1:26" x14ac:dyDescent="0.25">
      <c r="A376" s="17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22"/>
    </row>
    <row r="377" spans="1:26" x14ac:dyDescent="0.25">
      <c r="A377" s="17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22"/>
    </row>
    <row r="378" spans="1:26" x14ac:dyDescent="0.25">
      <c r="A378" s="17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22"/>
    </row>
    <row r="379" spans="1:26" x14ac:dyDescent="0.25">
      <c r="A379" s="17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22"/>
    </row>
    <row r="380" spans="1:26" x14ac:dyDescent="0.25">
      <c r="A380" s="17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22"/>
    </row>
    <row r="381" spans="1:26" x14ac:dyDescent="0.25">
      <c r="A381" s="17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22"/>
    </row>
    <row r="382" spans="1:26" x14ac:dyDescent="0.25">
      <c r="A382" s="17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22"/>
    </row>
    <row r="383" spans="1:26" x14ac:dyDescent="0.25">
      <c r="A383" s="17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22"/>
    </row>
    <row r="384" spans="1:26" x14ac:dyDescent="0.25">
      <c r="A384" s="17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22"/>
    </row>
    <row r="385" spans="1:26" x14ac:dyDescent="0.25">
      <c r="A385" s="17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22"/>
    </row>
    <row r="386" spans="1:26" x14ac:dyDescent="0.25">
      <c r="A386" s="17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22"/>
    </row>
    <row r="387" spans="1:26" x14ac:dyDescent="0.25">
      <c r="A387" s="17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22"/>
    </row>
    <row r="388" spans="1:26" x14ac:dyDescent="0.25">
      <c r="A388" s="17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22"/>
    </row>
    <row r="389" spans="1:26" x14ac:dyDescent="0.25">
      <c r="A389" s="17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22"/>
    </row>
    <row r="390" spans="1:26" x14ac:dyDescent="0.25">
      <c r="A390" s="17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22"/>
    </row>
    <row r="391" spans="1:26" x14ac:dyDescent="0.25">
      <c r="A391" s="17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22"/>
    </row>
    <row r="392" spans="1:26" x14ac:dyDescent="0.25">
      <c r="A392" s="17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22"/>
    </row>
    <row r="393" spans="1:26" x14ac:dyDescent="0.25">
      <c r="A393" s="17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22"/>
    </row>
    <row r="394" spans="1:26" x14ac:dyDescent="0.25">
      <c r="A394" s="17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22"/>
    </row>
    <row r="395" spans="1:26" x14ac:dyDescent="0.25">
      <c r="A395" s="17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22"/>
    </row>
    <row r="396" spans="1:26" x14ac:dyDescent="0.25">
      <c r="A396" s="17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22"/>
    </row>
    <row r="397" spans="1:26" x14ac:dyDescent="0.25">
      <c r="A397" s="17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22"/>
    </row>
    <row r="398" spans="1:26" x14ac:dyDescent="0.25">
      <c r="A398" s="17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22"/>
    </row>
    <row r="399" spans="1:26" x14ac:dyDescent="0.25">
      <c r="A399" s="17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22"/>
    </row>
    <row r="400" spans="1:26" x14ac:dyDescent="0.25">
      <c r="A400" s="17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22"/>
    </row>
    <row r="401" spans="1:26" x14ac:dyDescent="0.25">
      <c r="A401" s="17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22"/>
    </row>
    <row r="402" spans="1:26" x14ac:dyDescent="0.25">
      <c r="A402" s="17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22"/>
    </row>
    <row r="403" spans="1:26" x14ac:dyDescent="0.25">
      <c r="A403" s="17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22"/>
    </row>
    <row r="404" spans="1:26" x14ac:dyDescent="0.25">
      <c r="A404" s="17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22"/>
    </row>
    <row r="405" spans="1:26" x14ac:dyDescent="0.25">
      <c r="A405" s="17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22"/>
    </row>
    <row r="406" spans="1:26" x14ac:dyDescent="0.25">
      <c r="A406" s="17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22"/>
    </row>
    <row r="407" spans="1:26" x14ac:dyDescent="0.25">
      <c r="A407" s="17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22"/>
    </row>
    <row r="408" spans="1:26" x14ac:dyDescent="0.25">
      <c r="A408" s="17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22"/>
    </row>
    <row r="409" spans="1:26" x14ac:dyDescent="0.25">
      <c r="A409" s="17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22"/>
    </row>
    <row r="410" spans="1:26" x14ac:dyDescent="0.25">
      <c r="A410" s="17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22"/>
    </row>
    <row r="411" spans="1:26" x14ac:dyDescent="0.25">
      <c r="A411" s="17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22"/>
    </row>
    <row r="412" spans="1:26" x14ac:dyDescent="0.25">
      <c r="A412" s="17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22"/>
    </row>
    <row r="413" spans="1:26" x14ac:dyDescent="0.25">
      <c r="A413" s="17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22"/>
    </row>
    <row r="414" spans="1:26" x14ac:dyDescent="0.25">
      <c r="A414" s="17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22"/>
    </row>
    <row r="415" spans="1:26" x14ac:dyDescent="0.25">
      <c r="A415" s="17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22"/>
    </row>
    <row r="416" spans="1:26" x14ac:dyDescent="0.25">
      <c r="A416" s="17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22"/>
    </row>
    <row r="417" spans="1:26" x14ac:dyDescent="0.25">
      <c r="A417" s="17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22"/>
    </row>
    <row r="418" spans="1:26" x14ac:dyDescent="0.25">
      <c r="A418" s="17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22"/>
    </row>
    <row r="419" spans="1:26" x14ac:dyDescent="0.25">
      <c r="A419" s="17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22"/>
    </row>
    <row r="420" spans="1:26" x14ac:dyDescent="0.25">
      <c r="A420" s="17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22"/>
    </row>
    <row r="421" spans="1:26" x14ac:dyDescent="0.25">
      <c r="A421" s="17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22"/>
    </row>
    <row r="422" spans="1:26" x14ac:dyDescent="0.25">
      <c r="A422" s="17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22"/>
    </row>
    <row r="423" spans="1:26" x14ac:dyDescent="0.25">
      <c r="A423" s="17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22"/>
    </row>
    <row r="424" spans="1:26" x14ac:dyDescent="0.25">
      <c r="A424" s="17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22"/>
    </row>
    <row r="425" spans="1:26" x14ac:dyDescent="0.25">
      <c r="A425" s="17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22"/>
    </row>
    <row r="426" spans="1:26" x14ac:dyDescent="0.25">
      <c r="A426" s="17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22"/>
    </row>
    <row r="427" spans="1:26" x14ac:dyDescent="0.25">
      <c r="A427" s="17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22"/>
    </row>
    <row r="428" spans="1:26" x14ac:dyDescent="0.25">
      <c r="A428" s="17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22"/>
    </row>
    <row r="429" spans="1:26" x14ac:dyDescent="0.25">
      <c r="A429" s="17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22"/>
    </row>
    <row r="430" spans="1:26" x14ac:dyDescent="0.25">
      <c r="A430" s="17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22"/>
    </row>
    <row r="431" spans="1:26" x14ac:dyDescent="0.25">
      <c r="A431" s="17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22"/>
    </row>
    <row r="432" spans="1:26" x14ac:dyDescent="0.25">
      <c r="A432" s="17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22"/>
    </row>
    <row r="433" spans="1:26" x14ac:dyDescent="0.25">
      <c r="A433" s="17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22"/>
    </row>
    <row r="434" spans="1:26" x14ac:dyDescent="0.25">
      <c r="A434" s="17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22"/>
    </row>
    <row r="435" spans="1:26" x14ac:dyDescent="0.25">
      <c r="A435" s="17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22"/>
    </row>
    <row r="436" spans="1:26" x14ac:dyDescent="0.25">
      <c r="A436" s="17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22"/>
    </row>
    <row r="437" spans="1:26" x14ac:dyDescent="0.25">
      <c r="A437" s="17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22"/>
    </row>
    <row r="438" spans="1:26" x14ac:dyDescent="0.25">
      <c r="A438" s="17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22"/>
    </row>
    <row r="439" spans="1:26" x14ac:dyDescent="0.25">
      <c r="A439" s="17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22"/>
    </row>
    <row r="440" spans="1:26" x14ac:dyDescent="0.25">
      <c r="A440" s="17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22"/>
    </row>
    <row r="441" spans="1:26" x14ac:dyDescent="0.25">
      <c r="A441" s="17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22"/>
    </row>
    <row r="442" spans="1:26" x14ac:dyDescent="0.25">
      <c r="A442" s="17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22"/>
    </row>
    <row r="443" spans="1:26" x14ac:dyDescent="0.25">
      <c r="A443" s="17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22"/>
    </row>
    <row r="444" spans="1:26" x14ac:dyDescent="0.25">
      <c r="A444" s="17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22"/>
    </row>
    <row r="445" spans="1:26" x14ac:dyDescent="0.25">
      <c r="A445" s="17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22"/>
    </row>
    <row r="446" spans="1:26" x14ac:dyDescent="0.25">
      <c r="A446" s="17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22"/>
    </row>
    <row r="447" spans="1:26" x14ac:dyDescent="0.25">
      <c r="A447" s="17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22"/>
    </row>
    <row r="448" spans="1:26" x14ac:dyDescent="0.25">
      <c r="A448" s="17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22"/>
    </row>
    <row r="449" spans="1:26" x14ac:dyDescent="0.25">
      <c r="A449" s="17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22"/>
    </row>
    <row r="450" spans="1:26" x14ac:dyDescent="0.25">
      <c r="A450" s="17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22"/>
    </row>
    <row r="451" spans="1:26" x14ac:dyDescent="0.25">
      <c r="A451" s="17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22"/>
    </row>
    <row r="452" spans="1:26" x14ac:dyDescent="0.25">
      <c r="A452" s="17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22"/>
    </row>
    <row r="453" spans="1:26" x14ac:dyDescent="0.25">
      <c r="A453" s="17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22"/>
    </row>
    <row r="454" spans="1:26" x14ac:dyDescent="0.25">
      <c r="A454" s="17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22"/>
    </row>
    <row r="455" spans="1:26" x14ac:dyDescent="0.25">
      <c r="A455" s="17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22"/>
    </row>
    <row r="456" spans="1:26" x14ac:dyDescent="0.25">
      <c r="A456" s="17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22"/>
    </row>
    <row r="457" spans="1:26" x14ac:dyDescent="0.25">
      <c r="A457" s="17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22"/>
    </row>
    <row r="458" spans="1:26" x14ac:dyDescent="0.25">
      <c r="A458" s="17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22"/>
    </row>
    <row r="459" spans="1:26" x14ac:dyDescent="0.25">
      <c r="A459" s="17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22"/>
    </row>
    <row r="460" spans="1:26" x14ac:dyDescent="0.25">
      <c r="A460" s="17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22"/>
    </row>
    <row r="461" spans="1:26" x14ac:dyDescent="0.25">
      <c r="A461" s="17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22"/>
    </row>
    <row r="462" spans="1:26" x14ac:dyDescent="0.25">
      <c r="A462" s="17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22"/>
    </row>
    <row r="463" spans="1:26" x14ac:dyDescent="0.25">
      <c r="A463" s="17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22"/>
    </row>
    <row r="464" spans="1:26" x14ac:dyDescent="0.25">
      <c r="A464" s="17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22"/>
    </row>
    <row r="465" spans="1:26" x14ac:dyDescent="0.25">
      <c r="A465" s="17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22"/>
    </row>
    <row r="466" spans="1:26" x14ac:dyDescent="0.25">
      <c r="A466" s="17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22"/>
    </row>
    <row r="467" spans="1:26" x14ac:dyDescent="0.25">
      <c r="A467" s="17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22"/>
    </row>
    <row r="468" spans="1:26" x14ac:dyDescent="0.25">
      <c r="A468" s="17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22"/>
    </row>
    <row r="469" spans="1:26" x14ac:dyDescent="0.25">
      <c r="A469" s="17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22"/>
    </row>
    <row r="470" spans="1:26" x14ac:dyDescent="0.25">
      <c r="A470" s="17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22"/>
    </row>
    <row r="471" spans="1:26" x14ac:dyDescent="0.25">
      <c r="A471" s="17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22"/>
    </row>
    <row r="472" spans="1:26" x14ac:dyDescent="0.25">
      <c r="A472" s="17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22"/>
    </row>
    <row r="473" spans="1:26" x14ac:dyDescent="0.25">
      <c r="A473" s="17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22"/>
    </row>
    <row r="474" spans="1:26" x14ac:dyDescent="0.25">
      <c r="A474" s="17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22"/>
    </row>
    <row r="475" spans="1:26" x14ac:dyDescent="0.25">
      <c r="A475" s="17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22"/>
    </row>
    <row r="476" spans="1:26" x14ac:dyDescent="0.25">
      <c r="A476" s="17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22"/>
    </row>
    <row r="477" spans="1:26" x14ac:dyDescent="0.25">
      <c r="A477" s="17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22"/>
    </row>
    <row r="478" spans="1:26" x14ac:dyDescent="0.25">
      <c r="A478" s="17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22"/>
    </row>
    <row r="479" spans="1:26" x14ac:dyDescent="0.25">
      <c r="A479" s="17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22"/>
    </row>
    <row r="480" spans="1:26" x14ac:dyDescent="0.25">
      <c r="A480" s="17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22"/>
    </row>
    <row r="481" spans="1:26" x14ac:dyDescent="0.25">
      <c r="A481" s="17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22"/>
    </row>
    <row r="482" spans="1:26" x14ac:dyDescent="0.25">
      <c r="A482" s="17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22"/>
    </row>
    <row r="483" spans="1:26" x14ac:dyDescent="0.25">
      <c r="A483" s="17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22"/>
    </row>
    <row r="484" spans="1:26" x14ac:dyDescent="0.25">
      <c r="A484" s="17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22"/>
    </row>
    <row r="485" spans="1:26" x14ac:dyDescent="0.25">
      <c r="A485" s="17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22"/>
    </row>
    <row r="486" spans="1:26" x14ac:dyDescent="0.25">
      <c r="A486" s="17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22"/>
    </row>
    <row r="487" spans="1:26" x14ac:dyDescent="0.25">
      <c r="A487" s="17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22"/>
    </row>
    <row r="488" spans="1:26" x14ac:dyDescent="0.25">
      <c r="A488" s="17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22"/>
    </row>
    <row r="489" spans="1:26" x14ac:dyDescent="0.25">
      <c r="A489" s="17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22"/>
    </row>
    <row r="490" spans="1:26" x14ac:dyDescent="0.25">
      <c r="A490" s="17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22"/>
    </row>
    <row r="491" spans="1:26" x14ac:dyDescent="0.25">
      <c r="A491" s="17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22"/>
    </row>
    <row r="492" spans="1:26" x14ac:dyDescent="0.25">
      <c r="A492" s="17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22"/>
    </row>
    <row r="493" spans="1:26" x14ac:dyDescent="0.25">
      <c r="A493" s="17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22"/>
    </row>
    <row r="494" spans="1:26" x14ac:dyDescent="0.25">
      <c r="A494" s="17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22"/>
    </row>
    <row r="495" spans="1:26" x14ac:dyDescent="0.25">
      <c r="A495" s="17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22"/>
    </row>
    <row r="496" spans="1:26" x14ac:dyDescent="0.25">
      <c r="A496" s="17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22"/>
    </row>
    <row r="497" spans="1:26" x14ac:dyDescent="0.25">
      <c r="A497" s="17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22"/>
    </row>
    <row r="498" spans="1:26" x14ac:dyDescent="0.25">
      <c r="A498" s="17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22"/>
    </row>
    <row r="499" spans="1:26" x14ac:dyDescent="0.25">
      <c r="A499" s="17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22"/>
    </row>
    <row r="500" spans="1:26" x14ac:dyDescent="0.25">
      <c r="A500" s="17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22"/>
    </row>
    <row r="501" spans="1:26" x14ac:dyDescent="0.25">
      <c r="A501" s="17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22"/>
    </row>
    <row r="502" spans="1:26" x14ac:dyDescent="0.25">
      <c r="A502" s="17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22"/>
    </row>
    <row r="503" spans="1:26" x14ac:dyDescent="0.25">
      <c r="A503" s="17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22"/>
    </row>
    <row r="504" spans="1:26" x14ac:dyDescent="0.25">
      <c r="A504" s="17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22"/>
    </row>
    <row r="505" spans="1:26" x14ac:dyDescent="0.25">
      <c r="A505" s="17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22"/>
    </row>
    <row r="506" spans="1:26" x14ac:dyDescent="0.25">
      <c r="A506" s="17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22"/>
    </row>
    <row r="507" spans="1:26" x14ac:dyDescent="0.25">
      <c r="A507" s="17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22"/>
    </row>
    <row r="508" spans="1:26" x14ac:dyDescent="0.25">
      <c r="A508" s="17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22"/>
    </row>
    <row r="509" spans="1:26" x14ac:dyDescent="0.25">
      <c r="A509" s="17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22"/>
    </row>
    <row r="510" spans="1:26" x14ac:dyDescent="0.25">
      <c r="A510" s="17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22"/>
    </row>
    <row r="511" spans="1:26" x14ac:dyDescent="0.25">
      <c r="A511" s="17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22"/>
    </row>
    <row r="512" spans="1:26" x14ac:dyDescent="0.25">
      <c r="A512" s="17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22"/>
    </row>
    <row r="513" spans="1:26" x14ac:dyDescent="0.25">
      <c r="A513" s="17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22"/>
    </row>
    <row r="514" spans="1:26" x14ac:dyDescent="0.25">
      <c r="A514" s="17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22"/>
    </row>
    <row r="515" spans="1:26" x14ac:dyDescent="0.25">
      <c r="A515" s="17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22"/>
    </row>
    <row r="516" spans="1:26" x14ac:dyDescent="0.25">
      <c r="A516" s="17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22"/>
    </row>
    <row r="517" spans="1:26" x14ac:dyDescent="0.25">
      <c r="A517" s="17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22"/>
    </row>
    <row r="518" spans="1:26" x14ac:dyDescent="0.25">
      <c r="A518" s="17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22"/>
    </row>
    <row r="519" spans="1:26" x14ac:dyDescent="0.25">
      <c r="A519" s="17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22"/>
    </row>
    <row r="520" spans="1:26" x14ac:dyDescent="0.25">
      <c r="A520" s="17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22"/>
    </row>
    <row r="521" spans="1:26" x14ac:dyDescent="0.25">
      <c r="A521" s="17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22"/>
    </row>
    <row r="522" spans="1:26" x14ac:dyDescent="0.25">
      <c r="A522" s="17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22"/>
    </row>
    <row r="523" spans="1:26" x14ac:dyDescent="0.25">
      <c r="A523" s="17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22"/>
    </row>
    <row r="524" spans="1:26" x14ac:dyDescent="0.25">
      <c r="A524" s="17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22"/>
    </row>
    <row r="525" spans="1:26" x14ac:dyDescent="0.25">
      <c r="A525" s="17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22"/>
    </row>
    <row r="526" spans="1:26" x14ac:dyDescent="0.25">
      <c r="A526" s="17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22"/>
    </row>
    <row r="527" spans="1:26" x14ac:dyDescent="0.25">
      <c r="A527" s="17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22"/>
    </row>
    <row r="528" spans="1:26" x14ac:dyDescent="0.25">
      <c r="A528" s="17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22"/>
    </row>
    <row r="529" spans="1:26" x14ac:dyDescent="0.25">
      <c r="A529" s="17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22"/>
    </row>
    <row r="530" spans="1:26" x14ac:dyDescent="0.25">
      <c r="A530" s="17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22"/>
    </row>
    <row r="531" spans="1:26" x14ac:dyDescent="0.25">
      <c r="A531" s="17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22"/>
    </row>
    <row r="532" spans="1:26" x14ac:dyDescent="0.25">
      <c r="A532" s="17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22"/>
    </row>
    <row r="533" spans="1:26" x14ac:dyDescent="0.25">
      <c r="A533" s="17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22"/>
    </row>
    <row r="534" spans="1:26" x14ac:dyDescent="0.25">
      <c r="A534" s="17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22"/>
    </row>
    <row r="535" spans="1:26" x14ac:dyDescent="0.25">
      <c r="A535" s="17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22"/>
    </row>
    <row r="536" spans="1:26" x14ac:dyDescent="0.25">
      <c r="A536" s="17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22"/>
    </row>
    <row r="537" spans="1:26" x14ac:dyDescent="0.25">
      <c r="A537" s="17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22"/>
    </row>
    <row r="538" spans="1:26" x14ac:dyDescent="0.25">
      <c r="A538" s="17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22"/>
    </row>
    <row r="539" spans="1:26" x14ac:dyDescent="0.25">
      <c r="A539" s="17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22"/>
    </row>
    <row r="540" spans="1:26" x14ac:dyDescent="0.25">
      <c r="A540" s="17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22"/>
    </row>
    <row r="541" spans="1:26" x14ac:dyDescent="0.25">
      <c r="A541" s="17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22"/>
    </row>
    <row r="542" spans="1:26" x14ac:dyDescent="0.25">
      <c r="A542" s="17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22"/>
    </row>
    <row r="543" spans="1:26" x14ac:dyDescent="0.25">
      <c r="A543" s="17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22"/>
    </row>
    <row r="544" spans="1:26" x14ac:dyDescent="0.25">
      <c r="A544" s="17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22"/>
    </row>
    <row r="545" spans="1:26" x14ac:dyDescent="0.25">
      <c r="A545" s="17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22"/>
    </row>
    <row r="546" spans="1:26" x14ac:dyDescent="0.25">
      <c r="A546" s="17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22"/>
    </row>
    <row r="547" spans="1:26" x14ac:dyDescent="0.25">
      <c r="A547" s="17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22"/>
    </row>
    <row r="548" spans="1:26" x14ac:dyDescent="0.25">
      <c r="A548" s="17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22"/>
    </row>
    <row r="549" spans="1:26" x14ac:dyDescent="0.25">
      <c r="A549" s="17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22"/>
    </row>
    <row r="550" spans="1:26" x14ac:dyDescent="0.25">
      <c r="A550" s="17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22"/>
    </row>
    <row r="551" spans="1:26" x14ac:dyDescent="0.25">
      <c r="A551" s="17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22"/>
    </row>
    <row r="552" spans="1:26" x14ac:dyDescent="0.25">
      <c r="A552" s="17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22"/>
    </row>
    <row r="553" spans="1:26" x14ac:dyDescent="0.25">
      <c r="A553" s="17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22"/>
    </row>
    <row r="554" spans="1:26" x14ac:dyDescent="0.25">
      <c r="A554" s="17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22"/>
    </row>
    <row r="555" spans="1:26" x14ac:dyDescent="0.25">
      <c r="A555" s="17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22"/>
    </row>
    <row r="556" spans="1:26" x14ac:dyDescent="0.25">
      <c r="A556" s="17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22"/>
    </row>
    <row r="557" spans="1:26" x14ac:dyDescent="0.25">
      <c r="A557" s="17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22"/>
    </row>
    <row r="558" spans="1:26" x14ac:dyDescent="0.25">
      <c r="A558" s="17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22"/>
    </row>
    <row r="559" spans="1:26" x14ac:dyDescent="0.25">
      <c r="A559" s="17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22"/>
    </row>
    <row r="560" spans="1:26" x14ac:dyDescent="0.25">
      <c r="A560" s="17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22"/>
    </row>
    <row r="561" spans="1:26" x14ac:dyDescent="0.25">
      <c r="A561" s="17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22"/>
    </row>
    <row r="562" spans="1:26" x14ac:dyDescent="0.25">
      <c r="A562" s="17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22"/>
    </row>
    <row r="563" spans="1:26" x14ac:dyDescent="0.25">
      <c r="A563" s="17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22"/>
    </row>
    <row r="564" spans="1:26" x14ac:dyDescent="0.25">
      <c r="A564" s="17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22"/>
    </row>
    <row r="565" spans="1:26" x14ac:dyDescent="0.25">
      <c r="A565" s="17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22"/>
    </row>
    <row r="566" spans="1:26" x14ac:dyDescent="0.25">
      <c r="A566" s="17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22"/>
    </row>
    <row r="567" spans="1:26" x14ac:dyDescent="0.25">
      <c r="A567" s="17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22"/>
    </row>
    <row r="568" spans="1:26" x14ac:dyDescent="0.25">
      <c r="A568" s="17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22"/>
    </row>
    <row r="569" spans="1:26" x14ac:dyDescent="0.25">
      <c r="A569" s="17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22"/>
    </row>
    <row r="570" spans="1:26" x14ac:dyDescent="0.25">
      <c r="A570" s="17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22"/>
    </row>
    <row r="571" spans="1:26" x14ac:dyDescent="0.25">
      <c r="A571" s="17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22"/>
    </row>
    <row r="572" spans="1:26" x14ac:dyDescent="0.25">
      <c r="A572" s="17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22"/>
    </row>
    <row r="573" spans="1:26" x14ac:dyDescent="0.25">
      <c r="A573" s="17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22"/>
    </row>
    <row r="574" spans="1:26" x14ac:dyDescent="0.25">
      <c r="A574" s="17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22"/>
    </row>
    <row r="575" spans="1:26" x14ac:dyDescent="0.25">
      <c r="A575" s="17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22"/>
    </row>
    <row r="576" spans="1:26" x14ac:dyDescent="0.25">
      <c r="A576" s="17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22"/>
    </row>
    <row r="577" spans="1:26" x14ac:dyDescent="0.25">
      <c r="A577" s="17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22"/>
    </row>
    <row r="578" spans="1:26" x14ac:dyDescent="0.25">
      <c r="A578" s="17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22"/>
    </row>
    <row r="579" spans="1:26" x14ac:dyDescent="0.25">
      <c r="A579" s="17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22"/>
    </row>
    <row r="580" spans="1:26" x14ac:dyDescent="0.25">
      <c r="A580" s="17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22"/>
    </row>
    <row r="581" spans="1:26" x14ac:dyDescent="0.25">
      <c r="A581" s="17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22"/>
    </row>
    <row r="582" spans="1:26" x14ac:dyDescent="0.25">
      <c r="A582" s="17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22"/>
    </row>
    <row r="583" spans="1:26" x14ac:dyDescent="0.25">
      <c r="A583" s="17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22"/>
    </row>
    <row r="584" spans="1:26" x14ac:dyDescent="0.25">
      <c r="A584" s="17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22"/>
    </row>
    <row r="585" spans="1:26" x14ac:dyDescent="0.25">
      <c r="A585" s="17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22"/>
    </row>
    <row r="586" spans="1:26" x14ac:dyDescent="0.25">
      <c r="A586" s="17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22"/>
    </row>
    <row r="587" spans="1:26" x14ac:dyDescent="0.25">
      <c r="A587" s="17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22"/>
    </row>
    <row r="588" spans="1:26" x14ac:dyDescent="0.25">
      <c r="A588" s="17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22"/>
    </row>
    <row r="589" spans="1:26" x14ac:dyDescent="0.25">
      <c r="A589" s="17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22"/>
    </row>
    <row r="590" spans="1:26" x14ac:dyDescent="0.25">
      <c r="A590" s="17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22"/>
    </row>
    <row r="591" spans="1:26" x14ac:dyDescent="0.25">
      <c r="A591" s="17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22"/>
    </row>
    <row r="592" spans="1:26" x14ac:dyDescent="0.25">
      <c r="A592" s="17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22"/>
    </row>
    <row r="593" spans="1:26" x14ac:dyDescent="0.25">
      <c r="A593" s="17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22"/>
    </row>
    <row r="594" spans="1:26" x14ac:dyDescent="0.25">
      <c r="A594" s="17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22"/>
    </row>
    <row r="595" spans="1:26" x14ac:dyDescent="0.25">
      <c r="A595" s="17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22"/>
    </row>
    <row r="596" spans="1:26" x14ac:dyDescent="0.25">
      <c r="A596" s="17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22"/>
    </row>
    <row r="597" spans="1:26" x14ac:dyDescent="0.25">
      <c r="A597" s="17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22"/>
    </row>
    <row r="598" spans="1:26" x14ac:dyDescent="0.25">
      <c r="A598" s="17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22"/>
    </row>
    <row r="599" spans="1:26" x14ac:dyDescent="0.25">
      <c r="A599" s="17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22"/>
    </row>
    <row r="600" spans="1:26" x14ac:dyDescent="0.25">
      <c r="A600" s="17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22"/>
    </row>
    <row r="601" spans="1:26" x14ac:dyDescent="0.25">
      <c r="A601" s="17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22"/>
    </row>
    <row r="602" spans="1:26" x14ac:dyDescent="0.25">
      <c r="A602" s="17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22"/>
    </row>
    <row r="603" spans="1:26" x14ac:dyDescent="0.25">
      <c r="A603" s="17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22"/>
    </row>
    <row r="604" spans="1:26" x14ac:dyDescent="0.25">
      <c r="A604" s="17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22"/>
    </row>
    <row r="605" spans="1:26" x14ac:dyDescent="0.25">
      <c r="A605" s="17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22"/>
    </row>
    <row r="606" spans="1:26" x14ac:dyDescent="0.25">
      <c r="A606" s="17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22"/>
    </row>
    <row r="607" spans="1:26" x14ac:dyDescent="0.25">
      <c r="A607" s="17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22"/>
    </row>
    <row r="608" spans="1:26" x14ac:dyDescent="0.25">
      <c r="A608" s="17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22"/>
    </row>
    <row r="609" spans="1:26" x14ac:dyDescent="0.25">
      <c r="A609" s="17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22"/>
    </row>
    <row r="610" spans="1:26" x14ac:dyDescent="0.25">
      <c r="A610" s="17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22"/>
    </row>
    <row r="611" spans="1:26" x14ac:dyDescent="0.25">
      <c r="A611" s="17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22"/>
    </row>
    <row r="612" spans="1:26" x14ac:dyDescent="0.25">
      <c r="A612" s="17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22"/>
    </row>
    <row r="613" spans="1:26" x14ac:dyDescent="0.25">
      <c r="A613" s="17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22"/>
    </row>
    <row r="614" spans="1:26" x14ac:dyDescent="0.25">
      <c r="A614" s="17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22"/>
    </row>
    <row r="615" spans="1:26" x14ac:dyDescent="0.25">
      <c r="A615" s="17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22"/>
    </row>
    <row r="616" spans="1:26" x14ac:dyDescent="0.25">
      <c r="A616" s="17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22"/>
    </row>
    <row r="617" spans="1:26" x14ac:dyDescent="0.25">
      <c r="A617" s="17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22"/>
    </row>
    <row r="618" spans="1:26" x14ac:dyDescent="0.25">
      <c r="A618" s="17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22"/>
    </row>
    <row r="619" spans="1:26" x14ac:dyDescent="0.25">
      <c r="A619" s="17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22"/>
    </row>
    <row r="620" spans="1:26" x14ac:dyDescent="0.25">
      <c r="A620" s="17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22"/>
    </row>
    <row r="621" spans="1:26" x14ac:dyDescent="0.25">
      <c r="A621" s="17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22"/>
    </row>
    <row r="622" spans="1:26" x14ac:dyDescent="0.25">
      <c r="A622" s="17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22"/>
    </row>
    <row r="623" spans="1:26" x14ac:dyDescent="0.25">
      <c r="A623" s="17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22"/>
    </row>
    <row r="624" spans="1:26" x14ac:dyDescent="0.25">
      <c r="A624" s="17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22"/>
    </row>
    <row r="625" spans="1:26" x14ac:dyDescent="0.25">
      <c r="A625" s="17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22"/>
    </row>
    <row r="626" spans="1:26" x14ac:dyDescent="0.25">
      <c r="A626" s="17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22"/>
    </row>
    <row r="627" spans="1:26" x14ac:dyDescent="0.25">
      <c r="A627" s="17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22"/>
    </row>
    <row r="628" spans="1:26" x14ac:dyDescent="0.25">
      <c r="A628" s="17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22"/>
    </row>
    <row r="629" spans="1:26" x14ac:dyDescent="0.25">
      <c r="A629" s="17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22"/>
    </row>
    <row r="630" spans="1:26" x14ac:dyDescent="0.25">
      <c r="A630" s="17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22"/>
    </row>
    <row r="631" spans="1:26" x14ac:dyDescent="0.25">
      <c r="A631" s="17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22"/>
    </row>
    <row r="632" spans="1:26" x14ac:dyDescent="0.25">
      <c r="A632" s="17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22"/>
    </row>
    <row r="633" spans="1:26" x14ac:dyDescent="0.25">
      <c r="A633" s="17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22"/>
    </row>
    <row r="634" spans="1:26" x14ac:dyDescent="0.25">
      <c r="A634" s="17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22"/>
    </row>
    <row r="635" spans="1:26" x14ac:dyDescent="0.25">
      <c r="A635" s="17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22"/>
    </row>
    <row r="636" spans="1:26" x14ac:dyDescent="0.25">
      <c r="A636" s="17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22"/>
    </row>
    <row r="637" spans="1:26" x14ac:dyDescent="0.25">
      <c r="A637" s="17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22"/>
    </row>
    <row r="638" spans="1:26" x14ac:dyDescent="0.25">
      <c r="A638" s="17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22"/>
    </row>
    <row r="639" spans="1:26" x14ac:dyDescent="0.25">
      <c r="A639" s="17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22"/>
    </row>
    <row r="640" spans="1:26" x14ac:dyDescent="0.25">
      <c r="A640" s="17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22"/>
    </row>
    <row r="641" spans="1:26" x14ac:dyDescent="0.25">
      <c r="A641" s="17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22"/>
    </row>
    <row r="642" spans="1:26" x14ac:dyDescent="0.25">
      <c r="A642" s="17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22"/>
    </row>
    <row r="643" spans="1:26" x14ac:dyDescent="0.25">
      <c r="A643" s="17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22"/>
    </row>
    <row r="644" spans="1:26" x14ac:dyDescent="0.25">
      <c r="A644" s="17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22"/>
    </row>
    <row r="645" spans="1:26" x14ac:dyDescent="0.25">
      <c r="A645" s="17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22"/>
    </row>
    <row r="646" spans="1:26" x14ac:dyDescent="0.25">
      <c r="A646" s="17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22"/>
    </row>
    <row r="647" spans="1:26" x14ac:dyDescent="0.25">
      <c r="A647" s="17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22"/>
    </row>
    <row r="648" spans="1:26" x14ac:dyDescent="0.25">
      <c r="A648" s="17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22"/>
    </row>
    <row r="649" spans="1:26" x14ac:dyDescent="0.25">
      <c r="A649" s="17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22"/>
    </row>
    <row r="650" spans="1:26" x14ac:dyDescent="0.25">
      <c r="A650" s="17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22"/>
    </row>
    <row r="651" spans="1:26" x14ac:dyDescent="0.25">
      <c r="A651" s="17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22"/>
    </row>
    <row r="652" spans="1:26" x14ac:dyDescent="0.25">
      <c r="A652" s="17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22"/>
    </row>
    <row r="653" spans="1:26" x14ac:dyDescent="0.25">
      <c r="A653" s="17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22"/>
    </row>
    <row r="654" spans="1:26" x14ac:dyDescent="0.25">
      <c r="A654" s="17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22"/>
    </row>
    <row r="655" spans="1:26" x14ac:dyDescent="0.25">
      <c r="A655" s="17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22"/>
    </row>
    <row r="656" spans="1:26" x14ac:dyDescent="0.25">
      <c r="A656" s="17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22"/>
    </row>
    <row r="657" spans="1:26" x14ac:dyDescent="0.25">
      <c r="A657" s="17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22"/>
    </row>
    <row r="658" spans="1:26" x14ac:dyDescent="0.25">
      <c r="A658" s="17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22"/>
    </row>
    <row r="659" spans="1:26" x14ac:dyDescent="0.25">
      <c r="A659" s="17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22"/>
    </row>
    <row r="660" spans="1:26" x14ac:dyDescent="0.25">
      <c r="A660" s="17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22"/>
    </row>
    <row r="661" spans="1:26" x14ac:dyDescent="0.25">
      <c r="A661" s="17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22"/>
    </row>
    <row r="662" spans="1:26" x14ac:dyDescent="0.25">
      <c r="A662" s="17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22"/>
    </row>
    <row r="663" spans="1:26" x14ac:dyDescent="0.25">
      <c r="A663" s="17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22"/>
    </row>
    <row r="664" spans="1:26" x14ac:dyDescent="0.25">
      <c r="A664" s="17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22"/>
    </row>
    <row r="665" spans="1:26" x14ac:dyDescent="0.25">
      <c r="A665" s="17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22"/>
    </row>
    <row r="666" spans="1:26" x14ac:dyDescent="0.25">
      <c r="A666" s="17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22"/>
    </row>
    <row r="667" spans="1:26" x14ac:dyDescent="0.25">
      <c r="A667" s="17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22"/>
    </row>
    <row r="668" spans="1:26" x14ac:dyDescent="0.25">
      <c r="A668" s="17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22"/>
    </row>
    <row r="669" spans="1:26" x14ac:dyDescent="0.25">
      <c r="A669" s="17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22"/>
    </row>
    <row r="670" spans="1:26" x14ac:dyDescent="0.25">
      <c r="A670" s="17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22"/>
    </row>
    <row r="671" spans="1:26" x14ac:dyDescent="0.25">
      <c r="A671" s="17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22"/>
    </row>
    <row r="672" spans="1:26" x14ac:dyDescent="0.25">
      <c r="A672" s="17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22"/>
    </row>
    <row r="673" spans="1:26" x14ac:dyDescent="0.25">
      <c r="A673" s="17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22"/>
    </row>
    <row r="674" spans="1:26" x14ac:dyDescent="0.25">
      <c r="A674" s="17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22"/>
    </row>
    <row r="675" spans="1:26" x14ac:dyDescent="0.25">
      <c r="A675" s="17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22"/>
    </row>
    <row r="676" spans="1:26" x14ac:dyDescent="0.25">
      <c r="A676" s="17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22"/>
    </row>
    <row r="677" spans="1:26" x14ac:dyDescent="0.25">
      <c r="A677" s="17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22"/>
    </row>
    <row r="678" spans="1:26" x14ac:dyDescent="0.25">
      <c r="A678" s="17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22"/>
    </row>
    <row r="679" spans="1:26" x14ac:dyDescent="0.25">
      <c r="A679" s="17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22"/>
    </row>
    <row r="680" spans="1:26" x14ac:dyDescent="0.25">
      <c r="A680" s="17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22"/>
    </row>
    <row r="681" spans="1:26" x14ac:dyDescent="0.25">
      <c r="A681" s="17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22"/>
    </row>
    <row r="682" spans="1:26" x14ac:dyDescent="0.25">
      <c r="A682" s="17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22"/>
    </row>
    <row r="683" spans="1:26" x14ac:dyDescent="0.25">
      <c r="A683" s="17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22"/>
    </row>
    <row r="684" spans="1:26" x14ac:dyDescent="0.25">
      <c r="A684" s="17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22"/>
    </row>
    <row r="685" spans="1:26" x14ac:dyDescent="0.25">
      <c r="A685" s="17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22"/>
    </row>
    <row r="686" spans="1:26" x14ac:dyDescent="0.25">
      <c r="A686" s="17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22"/>
    </row>
    <row r="687" spans="1:26" x14ac:dyDescent="0.25">
      <c r="A687" s="17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22"/>
    </row>
    <row r="688" spans="1:26" x14ac:dyDescent="0.25">
      <c r="A688" s="17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22"/>
    </row>
    <row r="689" spans="1:26" x14ac:dyDescent="0.25">
      <c r="A689" s="17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22"/>
    </row>
    <row r="690" spans="1:26" x14ac:dyDescent="0.25">
      <c r="A690" s="17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22"/>
    </row>
    <row r="691" spans="1:26" x14ac:dyDescent="0.25">
      <c r="A691" s="17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22"/>
    </row>
    <row r="692" spans="1:26" x14ac:dyDescent="0.25">
      <c r="A692" s="17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22"/>
    </row>
    <row r="693" spans="1:26" x14ac:dyDescent="0.25">
      <c r="A693" s="17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22"/>
    </row>
    <row r="694" spans="1:26" x14ac:dyDescent="0.25">
      <c r="A694" s="17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22"/>
    </row>
    <row r="695" spans="1:26" x14ac:dyDescent="0.25">
      <c r="A695" s="17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22"/>
    </row>
    <row r="696" spans="1:26" x14ac:dyDescent="0.25">
      <c r="A696" s="17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22"/>
    </row>
    <row r="697" spans="1:26" x14ac:dyDescent="0.25">
      <c r="A697" s="17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22"/>
    </row>
    <row r="698" spans="1:26" x14ac:dyDescent="0.25">
      <c r="A698" s="17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22"/>
    </row>
    <row r="699" spans="1:26" x14ac:dyDescent="0.25">
      <c r="A699" s="17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22"/>
    </row>
    <row r="700" spans="1:26" x14ac:dyDescent="0.25">
      <c r="A700" s="17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22"/>
    </row>
    <row r="701" spans="1:26" x14ac:dyDescent="0.25">
      <c r="A701" s="17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22"/>
    </row>
    <row r="702" spans="1:26" x14ac:dyDescent="0.25">
      <c r="A702" s="17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22"/>
    </row>
    <row r="703" spans="1:26" x14ac:dyDescent="0.25">
      <c r="A703" s="17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22"/>
    </row>
    <row r="704" spans="1:26" x14ac:dyDescent="0.25">
      <c r="A704" s="17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22"/>
    </row>
    <row r="705" spans="1:26" x14ac:dyDescent="0.25">
      <c r="A705" s="17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22"/>
    </row>
    <row r="706" spans="1:26" x14ac:dyDescent="0.25">
      <c r="A706" s="17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22"/>
    </row>
    <row r="707" spans="1:26" x14ac:dyDescent="0.25">
      <c r="A707" s="17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22"/>
    </row>
    <row r="708" spans="1:26" x14ac:dyDescent="0.25">
      <c r="A708" s="17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22"/>
    </row>
    <row r="709" spans="1:26" x14ac:dyDescent="0.25">
      <c r="A709" s="17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22"/>
    </row>
    <row r="710" spans="1:26" x14ac:dyDescent="0.25">
      <c r="A710" s="17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22"/>
    </row>
    <row r="711" spans="1:26" x14ac:dyDescent="0.25">
      <c r="A711" s="17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22"/>
    </row>
    <row r="712" spans="1:26" x14ac:dyDescent="0.25">
      <c r="A712" s="17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22"/>
    </row>
    <row r="713" spans="1:26" x14ac:dyDescent="0.25">
      <c r="A713" s="17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22"/>
    </row>
    <row r="714" spans="1:26" x14ac:dyDescent="0.25">
      <c r="A714" s="17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22"/>
    </row>
    <row r="715" spans="1:26" x14ac:dyDescent="0.25">
      <c r="A715" s="17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22"/>
    </row>
    <row r="716" spans="1:26" x14ac:dyDescent="0.25">
      <c r="A716" s="17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22"/>
    </row>
    <row r="717" spans="1:26" x14ac:dyDescent="0.25">
      <c r="A717" s="17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22"/>
    </row>
    <row r="718" spans="1:26" x14ac:dyDescent="0.25">
      <c r="A718" s="17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22"/>
    </row>
    <row r="719" spans="1:26" x14ac:dyDescent="0.25">
      <c r="A719" s="17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22"/>
    </row>
    <row r="720" spans="1:26" x14ac:dyDescent="0.25">
      <c r="A720" s="17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22"/>
    </row>
    <row r="721" spans="1:26" x14ac:dyDescent="0.25">
      <c r="A721" s="17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22"/>
    </row>
    <row r="722" spans="1:26" x14ac:dyDescent="0.25">
      <c r="A722" s="17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22"/>
    </row>
    <row r="723" spans="1:26" x14ac:dyDescent="0.25">
      <c r="A723" s="17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22"/>
    </row>
    <row r="724" spans="1:26" x14ac:dyDescent="0.25">
      <c r="A724" s="17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22"/>
    </row>
    <row r="725" spans="1:26" x14ac:dyDescent="0.25">
      <c r="A725" s="17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22"/>
    </row>
    <row r="726" spans="1:26" x14ac:dyDescent="0.25">
      <c r="A726" s="17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22"/>
    </row>
    <row r="727" spans="1:26" x14ac:dyDescent="0.25">
      <c r="A727" s="17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22"/>
    </row>
    <row r="728" spans="1:26" x14ac:dyDescent="0.25">
      <c r="A728" s="17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22"/>
    </row>
    <row r="729" spans="1:26" x14ac:dyDescent="0.25">
      <c r="A729" s="17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22"/>
    </row>
    <row r="730" spans="1:26" x14ac:dyDescent="0.25">
      <c r="A730" s="17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22"/>
    </row>
    <row r="731" spans="1:26" x14ac:dyDescent="0.25">
      <c r="A731" s="17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22"/>
    </row>
    <row r="732" spans="1:26" x14ac:dyDescent="0.25">
      <c r="A732" s="17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22"/>
    </row>
    <row r="733" spans="1:26" x14ac:dyDescent="0.25">
      <c r="A733" s="17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22"/>
    </row>
    <row r="734" spans="1:26" x14ac:dyDescent="0.25">
      <c r="A734" s="17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22"/>
    </row>
    <row r="735" spans="1:26" x14ac:dyDescent="0.25">
      <c r="A735" s="17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22"/>
    </row>
    <row r="736" spans="1:26" x14ac:dyDescent="0.25">
      <c r="A736" s="17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22"/>
    </row>
    <row r="737" spans="1:26" x14ac:dyDescent="0.25">
      <c r="A737" s="17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22"/>
    </row>
    <row r="738" spans="1:26" x14ac:dyDescent="0.25">
      <c r="A738" s="17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22"/>
    </row>
    <row r="739" spans="1:26" x14ac:dyDescent="0.25">
      <c r="A739" s="17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22"/>
    </row>
    <row r="740" spans="1:26" x14ac:dyDescent="0.25">
      <c r="A740" s="17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22"/>
    </row>
    <row r="741" spans="1:26" x14ac:dyDescent="0.25">
      <c r="A741" s="17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22"/>
    </row>
    <row r="742" spans="1:26" x14ac:dyDescent="0.25">
      <c r="A742" s="17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22"/>
    </row>
    <row r="743" spans="1:26" x14ac:dyDescent="0.25">
      <c r="A743" s="17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22"/>
    </row>
    <row r="744" spans="1:26" x14ac:dyDescent="0.25">
      <c r="A744" s="17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22"/>
    </row>
    <row r="745" spans="1:26" x14ac:dyDescent="0.25">
      <c r="A745" s="17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22"/>
    </row>
    <row r="746" spans="1:26" x14ac:dyDescent="0.25">
      <c r="A746" s="17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22"/>
    </row>
    <row r="747" spans="1:26" x14ac:dyDescent="0.25">
      <c r="A747" s="17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22"/>
    </row>
    <row r="748" spans="1:26" x14ac:dyDescent="0.25">
      <c r="A748" s="17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22"/>
    </row>
    <row r="749" spans="1:26" x14ac:dyDescent="0.25">
      <c r="A749" s="17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22"/>
    </row>
    <row r="750" spans="1:26" x14ac:dyDescent="0.25">
      <c r="A750" s="17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22"/>
    </row>
    <row r="751" spans="1:26" x14ac:dyDescent="0.25">
      <c r="A751" s="17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22"/>
    </row>
    <row r="752" spans="1:26" x14ac:dyDescent="0.25">
      <c r="A752" s="17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22"/>
    </row>
    <row r="753" spans="1:26" x14ac:dyDescent="0.25">
      <c r="A753" s="17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22"/>
    </row>
    <row r="754" spans="1:26" x14ac:dyDescent="0.25">
      <c r="A754" s="17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22"/>
    </row>
    <row r="755" spans="1:26" x14ac:dyDescent="0.25">
      <c r="A755" s="17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22"/>
    </row>
    <row r="756" spans="1:26" x14ac:dyDescent="0.25">
      <c r="A756" s="17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22"/>
    </row>
    <row r="757" spans="1:26" x14ac:dyDescent="0.25">
      <c r="A757" s="17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22"/>
    </row>
    <row r="758" spans="1:26" x14ac:dyDescent="0.25">
      <c r="A758" s="17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22"/>
    </row>
    <row r="759" spans="1:26" x14ac:dyDescent="0.25">
      <c r="A759" s="17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22"/>
    </row>
    <row r="760" spans="1:26" x14ac:dyDescent="0.25">
      <c r="A760" s="17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22"/>
    </row>
    <row r="761" spans="1:26" x14ac:dyDescent="0.25">
      <c r="A761" s="17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22"/>
    </row>
    <row r="762" spans="1:26" x14ac:dyDescent="0.25">
      <c r="A762" s="17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22"/>
    </row>
    <row r="763" spans="1:26" x14ac:dyDescent="0.25">
      <c r="A763" s="17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22"/>
    </row>
    <row r="764" spans="1:26" x14ac:dyDescent="0.25">
      <c r="A764" s="17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22"/>
    </row>
    <row r="765" spans="1:26" x14ac:dyDescent="0.25">
      <c r="A765" s="17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22"/>
    </row>
    <row r="766" spans="1:26" x14ac:dyDescent="0.25">
      <c r="A766" s="17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22"/>
    </row>
    <row r="767" spans="1:26" x14ac:dyDescent="0.25">
      <c r="A767" s="17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22"/>
    </row>
    <row r="768" spans="1:26" x14ac:dyDescent="0.25">
      <c r="A768" s="17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22"/>
    </row>
    <row r="769" spans="1:26" x14ac:dyDescent="0.25">
      <c r="A769" s="17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22"/>
    </row>
    <row r="770" spans="1:26" x14ac:dyDescent="0.25">
      <c r="A770" s="17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22"/>
    </row>
    <row r="771" spans="1:26" x14ac:dyDescent="0.25">
      <c r="A771" s="17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22"/>
    </row>
    <row r="772" spans="1:26" x14ac:dyDescent="0.25">
      <c r="A772" s="17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22"/>
    </row>
    <row r="773" spans="1:26" x14ac:dyDescent="0.25">
      <c r="A773" s="17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22"/>
    </row>
    <row r="774" spans="1:26" x14ac:dyDescent="0.25">
      <c r="A774" s="17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22"/>
    </row>
    <row r="775" spans="1:26" x14ac:dyDescent="0.25">
      <c r="A775" s="17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22"/>
    </row>
    <row r="776" spans="1:26" x14ac:dyDescent="0.25">
      <c r="A776" s="17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22"/>
    </row>
    <row r="777" spans="1:26" x14ac:dyDescent="0.25">
      <c r="A777" s="17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22"/>
    </row>
    <row r="778" spans="1:26" x14ac:dyDescent="0.25">
      <c r="A778" s="17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22"/>
    </row>
    <row r="779" spans="1:26" x14ac:dyDescent="0.25">
      <c r="A779" s="17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22"/>
    </row>
    <row r="780" spans="1:26" x14ac:dyDescent="0.25">
      <c r="A780" s="17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22"/>
    </row>
    <row r="781" spans="1:26" x14ac:dyDescent="0.25">
      <c r="A781" s="17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22"/>
    </row>
    <row r="782" spans="1:26" x14ac:dyDescent="0.25">
      <c r="A782" s="17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22"/>
    </row>
    <row r="783" spans="1:26" x14ac:dyDescent="0.25">
      <c r="A783" s="17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22"/>
    </row>
    <row r="784" spans="1:26" x14ac:dyDescent="0.25">
      <c r="A784" s="17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22"/>
    </row>
    <row r="785" spans="1:26" x14ac:dyDescent="0.25">
      <c r="A785" s="17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22"/>
    </row>
    <row r="786" spans="1:26" x14ac:dyDescent="0.25">
      <c r="A786" s="17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22"/>
    </row>
    <row r="787" spans="1:26" x14ac:dyDescent="0.25">
      <c r="A787" s="17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22"/>
    </row>
    <row r="788" spans="1:26" x14ac:dyDescent="0.25">
      <c r="A788" s="17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22"/>
    </row>
    <row r="789" spans="1:26" x14ac:dyDescent="0.25">
      <c r="A789" s="17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22"/>
    </row>
    <row r="790" spans="1:26" x14ac:dyDescent="0.25">
      <c r="A790" s="17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22"/>
    </row>
    <row r="791" spans="1:26" x14ac:dyDescent="0.25">
      <c r="A791" s="17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22"/>
    </row>
    <row r="792" spans="1:26" x14ac:dyDescent="0.25">
      <c r="A792" s="17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22"/>
    </row>
    <row r="793" spans="1:26" x14ac:dyDescent="0.25">
      <c r="A793" s="17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22"/>
    </row>
    <row r="794" spans="1:26" x14ac:dyDescent="0.25">
      <c r="A794" s="17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22"/>
    </row>
    <row r="795" spans="1:26" x14ac:dyDescent="0.25">
      <c r="A795" s="17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22"/>
    </row>
    <row r="796" spans="1:26" x14ac:dyDescent="0.25">
      <c r="A796" s="17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22"/>
    </row>
    <row r="797" spans="1:26" x14ac:dyDescent="0.25">
      <c r="A797" s="17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22"/>
    </row>
    <row r="798" spans="1:26" x14ac:dyDescent="0.25">
      <c r="A798" s="17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22"/>
    </row>
    <row r="799" spans="1:26" x14ac:dyDescent="0.25">
      <c r="A799" s="17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22"/>
    </row>
    <row r="800" spans="1:26" x14ac:dyDescent="0.25">
      <c r="A800" s="17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22"/>
    </row>
    <row r="801" spans="1:26" x14ac:dyDescent="0.25">
      <c r="A801" s="17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22"/>
    </row>
    <row r="802" spans="1:26" x14ac:dyDescent="0.25">
      <c r="A802" s="17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22"/>
    </row>
    <row r="803" spans="1:26" x14ac:dyDescent="0.25">
      <c r="A803" s="17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22"/>
    </row>
    <row r="804" spans="1:26" x14ac:dyDescent="0.25">
      <c r="A804" s="17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22"/>
    </row>
    <row r="805" spans="1:26" x14ac:dyDescent="0.25">
      <c r="A805" s="17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22"/>
    </row>
    <row r="806" spans="1:26" x14ac:dyDescent="0.25">
      <c r="A806" s="17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22"/>
    </row>
    <row r="807" spans="1:26" x14ac:dyDescent="0.25">
      <c r="A807" s="17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22"/>
    </row>
    <row r="808" spans="1:26" x14ac:dyDescent="0.25">
      <c r="A808" s="17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22"/>
    </row>
    <row r="809" spans="1:26" x14ac:dyDescent="0.25">
      <c r="A809" s="17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22"/>
    </row>
    <row r="810" spans="1:26" x14ac:dyDescent="0.25">
      <c r="A810" s="17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22"/>
    </row>
    <row r="811" spans="1:26" x14ac:dyDescent="0.25">
      <c r="A811" s="17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22"/>
    </row>
    <row r="812" spans="1:26" x14ac:dyDescent="0.25">
      <c r="A812" s="17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22"/>
    </row>
    <row r="813" spans="1:26" x14ac:dyDescent="0.25">
      <c r="A813" s="17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22"/>
    </row>
    <row r="814" spans="1:26" x14ac:dyDescent="0.25">
      <c r="A814" s="17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22"/>
    </row>
    <row r="815" spans="1:26" x14ac:dyDescent="0.25">
      <c r="A815" s="17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22"/>
    </row>
    <row r="816" spans="1:26" x14ac:dyDescent="0.25">
      <c r="A816" s="17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22"/>
    </row>
    <row r="817" spans="1:26" x14ac:dyDescent="0.25">
      <c r="A817" s="17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22"/>
    </row>
    <row r="818" spans="1:26" x14ac:dyDescent="0.25">
      <c r="A818" s="17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22"/>
    </row>
    <row r="819" spans="1:26" x14ac:dyDescent="0.25">
      <c r="A819" s="17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22"/>
    </row>
    <row r="820" spans="1:26" x14ac:dyDescent="0.25">
      <c r="A820" s="17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22"/>
    </row>
    <row r="821" spans="1:26" x14ac:dyDescent="0.25">
      <c r="A821" s="17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22"/>
    </row>
    <row r="822" spans="1:26" x14ac:dyDescent="0.25">
      <c r="A822" s="17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22"/>
    </row>
    <row r="823" spans="1:26" x14ac:dyDescent="0.25">
      <c r="A823" s="17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22"/>
    </row>
    <row r="824" spans="1:26" x14ac:dyDescent="0.25">
      <c r="A824" s="17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22"/>
    </row>
    <row r="825" spans="1:26" x14ac:dyDescent="0.25">
      <c r="A825" s="17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22"/>
    </row>
    <row r="826" spans="1:26" x14ac:dyDescent="0.25">
      <c r="A826" s="17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22"/>
    </row>
    <row r="827" spans="1:26" x14ac:dyDescent="0.25">
      <c r="A827" s="17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22"/>
    </row>
    <row r="828" spans="1:26" x14ac:dyDescent="0.25">
      <c r="A828" s="17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22"/>
    </row>
    <row r="829" spans="1:26" x14ac:dyDescent="0.25">
      <c r="A829" s="17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22"/>
    </row>
    <row r="830" spans="1:26" x14ac:dyDescent="0.25">
      <c r="A830" s="17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22"/>
    </row>
    <row r="831" spans="1:26" x14ac:dyDescent="0.25">
      <c r="A831" s="17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22"/>
    </row>
    <row r="832" spans="1:26" x14ac:dyDescent="0.25">
      <c r="A832" s="17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22"/>
    </row>
    <row r="833" spans="1:26" x14ac:dyDescent="0.25">
      <c r="A833" s="17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22"/>
    </row>
    <row r="834" spans="1:26" x14ac:dyDescent="0.25">
      <c r="A834" s="17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22"/>
    </row>
    <row r="835" spans="1:26" x14ac:dyDescent="0.25">
      <c r="A835" s="17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22"/>
    </row>
    <row r="836" spans="1:26" x14ac:dyDescent="0.25">
      <c r="A836" s="17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22"/>
    </row>
    <row r="837" spans="1:26" x14ac:dyDescent="0.25">
      <c r="A837" s="17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22"/>
    </row>
    <row r="838" spans="1:26" x14ac:dyDescent="0.25">
      <c r="A838" s="17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22"/>
    </row>
    <row r="839" spans="1:26" x14ac:dyDescent="0.25">
      <c r="A839" s="17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22"/>
    </row>
    <row r="840" spans="1:26" x14ac:dyDescent="0.25">
      <c r="A840" s="17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22"/>
    </row>
    <row r="841" spans="1:26" x14ac:dyDescent="0.25">
      <c r="A841" s="17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22"/>
    </row>
    <row r="842" spans="1:26" x14ac:dyDescent="0.25">
      <c r="A842" s="17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22"/>
    </row>
    <row r="843" spans="1:26" x14ac:dyDescent="0.25">
      <c r="A843" s="17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22"/>
    </row>
    <row r="844" spans="1:26" x14ac:dyDescent="0.25">
      <c r="A844" s="17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22"/>
    </row>
    <row r="845" spans="1:26" x14ac:dyDescent="0.25">
      <c r="A845" s="17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22"/>
    </row>
    <row r="846" spans="1:26" x14ac:dyDescent="0.25">
      <c r="A846" s="17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22"/>
    </row>
    <row r="847" spans="1:26" x14ac:dyDescent="0.25">
      <c r="A847" s="17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22"/>
    </row>
    <row r="848" spans="1:26" x14ac:dyDescent="0.25">
      <c r="A848" s="17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22"/>
    </row>
    <row r="849" spans="1:26" x14ac:dyDescent="0.25">
      <c r="A849" s="17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22"/>
    </row>
    <row r="850" spans="1:26" x14ac:dyDescent="0.25">
      <c r="A850" s="17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22"/>
    </row>
    <row r="851" spans="1:26" x14ac:dyDescent="0.25">
      <c r="A851" s="17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22"/>
    </row>
    <row r="852" spans="1:26" x14ac:dyDescent="0.25">
      <c r="A852" s="17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22"/>
    </row>
    <row r="853" spans="1:26" x14ac:dyDescent="0.25">
      <c r="A853" s="17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22"/>
    </row>
    <row r="854" spans="1:26" x14ac:dyDescent="0.25">
      <c r="A854" s="17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22"/>
    </row>
    <row r="855" spans="1:26" x14ac:dyDescent="0.25">
      <c r="A855" s="17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22"/>
    </row>
    <row r="856" spans="1:26" x14ac:dyDescent="0.25">
      <c r="A856" s="17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22"/>
    </row>
    <row r="857" spans="1:26" x14ac:dyDescent="0.25">
      <c r="A857" s="17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22"/>
    </row>
    <row r="858" spans="1:26" x14ac:dyDescent="0.25">
      <c r="A858" s="17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22"/>
    </row>
    <row r="859" spans="1:26" x14ac:dyDescent="0.25">
      <c r="A859" s="17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22"/>
    </row>
    <row r="860" spans="1:26" x14ac:dyDescent="0.25">
      <c r="A860" s="17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22"/>
    </row>
    <row r="861" spans="1:26" x14ac:dyDescent="0.25">
      <c r="A861" s="17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22"/>
    </row>
    <row r="862" spans="1:26" x14ac:dyDescent="0.25">
      <c r="A862" s="17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22"/>
    </row>
    <row r="863" spans="1:26" x14ac:dyDescent="0.25">
      <c r="A863" s="17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22"/>
    </row>
    <row r="864" spans="1:26" x14ac:dyDescent="0.25">
      <c r="A864" s="17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22"/>
    </row>
    <row r="865" spans="1:26" x14ac:dyDescent="0.25">
      <c r="A865" s="17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22"/>
    </row>
    <row r="866" spans="1:26" x14ac:dyDescent="0.25">
      <c r="A866" s="17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22"/>
    </row>
    <row r="867" spans="1:26" x14ac:dyDescent="0.25">
      <c r="A867" s="17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22"/>
    </row>
    <row r="868" spans="1:26" x14ac:dyDescent="0.25">
      <c r="A868" s="17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22"/>
    </row>
    <row r="869" spans="1:26" x14ac:dyDescent="0.25">
      <c r="A869" s="17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22"/>
    </row>
    <row r="870" spans="1:26" x14ac:dyDescent="0.25">
      <c r="A870" s="17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22"/>
    </row>
    <row r="871" spans="1:26" x14ac:dyDescent="0.25">
      <c r="A871" s="17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22"/>
    </row>
    <row r="872" spans="1:26" x14ac:dyDescent="0.25">
      <c r="A872" s="17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22"/>
    </row>
    <row r="873" spans="1:26" x14ac:dyDescent="0.25">
      <c r="A873" s="17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22"/>
    </row>
    <row r="874" spans="1:26" x14ac:dyDescent="0.25">
      <c r="A874" s="17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22"/>
    </row>
    <row r="875" spans="1:26" x14ac:dyDescent="0.25">
      <c r="A875" s="17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22"/>
    </row>
    <row r="876" spans="1:26" x14ac:dyDescent="0.25">
      <c r="A876" s="17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22"/>
    </row>
    <row r="877" spans="1:26" x14ac:dyDescent="0.25">
      <c r="A877" s="17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22"/>
    </row>
    <row r="878" spans="1:26" x14ac:dyDescent="0.25">
      <c r="A878" s="17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22"/>
    </row>
    <row r="879" spans="1:26" x14ac:dyDescent="0.25">
      <c r="A879" s="17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22"/>
    </row>
    <row r="880" spans="1:26" x14ac:dyDescent="0.25">
      <c r="A880" s="17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22"/>
    </row>
    <row r="881" spans="1:26" x14ac:dyDescent="0.25">
      <c r="A881" s="17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22"/>
    </row>
    <row r="882" spans="1:26" x14ac:dyDescent="0.25">
      <c r="A882" s="17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22"/>
    </row>
    <row r="883" spans="1:26" x14ac:dyDescent="0.25">
      <c r="A883" s="17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22"/>
    </row>
    <row r="884" spans="1:26" x14ac:dyDescent="0.25">
      <c r="A884" s="17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22"/>
    </row>
    <row r="885" spans="1:26" x14ac:dyDescent="0.25">
      <c r="A885" s="17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22"/>
    </row>
    <row r="886" spans="1:26" x14ac:dyDescent="0.25">
      <c r="A886" s="17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22"/>
    </row>
    <row r="887" spans="1:26" x14ac:dyDescent="0.25">
      <c r="A887" s="17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22"/>
    </row>
    <row r="888" spans="1:26" x14ac:dyDescent="0.25">
      <c r="A888" s="17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22"/>
    </row>
    <row r="889" spans="1:26" x14ac:dyDescent="0.25">
      <c r="A889" s="17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22"/>
    </row>
    <row r="890" spans="1:26" x14ac:dyDescent="0.25">
      <c r="A890" s="17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22"/>
    </row>
    <row r="891" spans="1:26" x14ac:dyDescent="0.25">
      <c r="A891" s="17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22"/>
    </row>
    <row r="892" spans="1:26" x14ac:dyDescent="0.25">
      <c r="A892" s="17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22"/>
    </row>
    <row r="893" spans="1:26" x14ac:dyDescent="0.25">
      <c r="A893" s="17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22"/>
    </row>
    <row r="894" spans="1:26" x14ac:dyDescent="0.25">
      <c r="A894" s="17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22"/>
    </row>
    <row r="895" spans="1:26" x14ac:dyDescent="0.25">
      <c r="A895" s="17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22"/>
    </row>
    <row r="896" spans="1:26" x14ac:dyDescent="0.25">
      <c r="A896" s="17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22"/>
    </row>
    <row r="897" spans="1:26" x14ac:dyDescent="0.25">
      <c r="A897" s="17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22"/>
    </row>
    <row r="898" spans="1:26" x14ac:dyDescent="0.25">
      <c r="A898" s="17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22"/>
    </row>
    <row r="899" spans="1:26" x14ac:dyDescent="0.25">
      <c r="A899" s="17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22"/>
    </row>
    <row r="900" spans="1:26" x14ac:dyDescent="0.25">
      <c r="A900" s="17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22"/>
    </row>
    <row r="901" spans="1:26" x14ac:dyDescent="0.25">
      <c r="A901" s="17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22"/>
    </row>
    <row r="902" spans="1:26" x14ac:dyDescent="0.25">
      <c r="A902" s="17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22"/>
    </row>
    <row r="903" spans="1:26" x14ac:dyDescent="0.25">
      <c r="A903" s="17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22"/>
    </row>
    <row r="904" spans="1:26" x14ac:dyDescent="0.25">
      <c r="A904" s="17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22"/>
    </row>
    <row r="905" spans="1:26" x14ac:dyDescent="0.25">
      <c r="A905" s="17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22"/>
    </row>
    <row r="906" spans="1:26" x14ac:dyDescent="0.25">
      <c r="A906" s="17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22"/>
    </row>
    <row r="907" spans="1:26" x14ac:dyDescent="0.25">
      <c r="A907" s="17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22"/>
    </row>
    <row r="908" spans="1:26" x14ac:dyDescent="0.25">
      <c r="A908" s="17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22"/>
    </row>
    <row r="909" spans="1:26" x14ac:dyDescent="0.25">
      <c r="A909" s="17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22"/>
    </row>
    <row r="910" spans="1:26" x14ac:dyDescent="0.25">
      <c r="A910" s="17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22"/>
    </row>
    <row r="911" spans="1:26" x14ac:dyDescent="0.25">
      <c r="A911" s="17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22"/>
    </row>
    <row r="912" spans="1:26" x14ac:dyDescent="0.25">
      <c r="A912" s="17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22"/>
    </row>
    <row r="913" spans="1:26" x14ac:dyDescent="0.25">
      <c r="A913" s="17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22"/>
    </row>
    <row r="914" spans="1:26" x14ac:dyDescent="0.25">
      <c r="A914" s="17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22"/>
    </row>
    <row r="915" spans="1:26" x14ac:dyDescent="0.25">
      <c r="A915" s="17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22"/>
    </row>
    <row r="916" spans="1:26" x14ac:dyDescent="0.25">
      <c r="A916" s="17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22"/>
    </row>
    <row r="917" spans="1:26" x14ac:dyDescent="0.25">
      <c r="A917" s="17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22"/>
    </row>
    <row r="918" spans="1:26" x14ac:dyDescent="0.25">
      <c r="A918" s="17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22"/>
    </row>
    <row r="919" spans="1:26" x14ac:dyDescent="0.25">
      <c r="A919" s="17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22"/>
    </row>
    <row r="920" spans="1:26" x14ac:dyDescent="0.25">
      <c r="A920" s="17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22"/>
    </row>
    <row r="921" spans="1:26" x14ac:dyDescent="0.25">
      <c r="A921" s="17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22"/>
    </row>
    <row r="922" spans="1:26" x14ac:dyDescent="0.25">
      <c r="A922" s="17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22"/>
    </row>
    <row r="923" spans="1:26" x14ac:dyDescent="0.25">
      <c r="A923" s="17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22"/>
    </row>
    <row r="924" spans="1:26" x14ac:dyDescent="0.25">
      <c r="A924" s="17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22"/>
    </row>
    <row r="925" spans="1:26" x14ac:dyDescent="0.25">
      <c r="A925" s="17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22"/>
    </row>
    <row r="926" spans="1:26" x14ac:dyDescent="0.25">
      <c r="A926" s="17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22"/>
    </row>
    <row r="927" spans="1:26" x14ac:dyDescent="0.25">
      <c r="A927" s="17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22"/>
    </row>
    <row r="928" spans="1:26" x14ac:dyDescent="0.25">
      <c r="A928" s="17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22"/>
    </row>
    <row r="929" spans="1:26" x14ac:dyDescent="0.25">
      <c r="A929" s="17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22"/>
    </row>
    <row r="930" spans="1:26" x14ac:dyDescent="0.25">
      <c r="A930" s="17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22"/>
    </row>
    <row r="931" spans="1:26" x14ac:dyDescent="0.25">
      <c r="A931" s="17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22"/>
    </row>
    <row r="932" spans="1:26" x14ac:dyDescent="0.25">
      <c r="A932" s="17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22"/>
    </row>
    <row r="933" spans="1:26" x14ac:dyDescent="0.25">
      <c r="A933" s="17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22"/>
    </row>
    <row r="934" spans="1:26" x14ac:dyDescent="0.25">
      <c r="A934" s="17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22"/>
    </row>
    <row r="935" spans="1:26" x14ac:dyDescent="0.25">
      <c r="A935" s="17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22"/>
    </row>
    <row r="936" spans="1:26" x14ac:dyDescent="0.25">
      <c r="A936" s="17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22"/>
    </row>
    <row r="937" spans="1:26" x14ac:dyDescent="0.25">
      <c r="A937" s="17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22"/>
    </row>
    <row r="938" spans="1:26" x14ac:dyDescent="0.25">
      <c r="A938" s="17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22"/>
    </row>
    <row r="939" spans="1:26" x14ac:dyDescent="0.25">
      <c r="A939" s="17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22"/>
    </row>
    <row r="940" spans="1:26" x14ac:dyDescent="0.25">
      <c r="A940" s="17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22"/>
    </row>
    <row r="941" spans="1:26" x14ac:dyDescent="0.25">
      <c r="A941" s="17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22"/>
    </row>
    <row r="942" spans="1:26" x14ac:dyDescent="0.25">
      <c r="A942" s="17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22"/>
    </row>
    <row r="943" spans="1:26" x14ac:dyDescent="0.25">
      <c r="A943" s="17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22"/>
    </row>
    <row r="944" spans="1:26" x14ac:dyDescent="0.25">
      <c r="A944" s="17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22"/>
    </row>
    <row r="945" spans="1:26" x14ac:dyDescent="0.25">
      <c r="A945" s="17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22"/>
    </row>
    <row r="946" spans="1:26" x14ac:dyDescent="0.25">
      <c r="A946" s="17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22"/>
    </row>
    <row r="947" spans="1:26" x14ac:dyDescent="0.25">
      <c r="A947" s="17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22"/>
    </row>
    <row r="948" spans="1:26" x14ac:dyDescent="0.25">
      <c r="A948" s="17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22"/>
    </row>
    <row r="949" spans="1:26" x14ac:dyDescent="0.25">
      <c r="A949" s="17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22"/>
    </row>
    <row r="950" spans="1:26" x14ac:dyDescent="0.25">
      <c r="A950" s="17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22"/>
    </row>
    <row r="951" spans="1:26" x14ac:dyDescent="0.25">
      <c r="A951" s="17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22"/>
    </row>
    <row r="952" spans="1:26" x14ac:dyDescent="0.25">
      <c r="A952" s="17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22"/>
    </row>
    <row r="953" spans="1:26" x14ac:dyDescent="0.25">
      <c r="A953" s="17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22"/>
    </row>
    <row r="954" spans="1:26" x14ac:dyDescent="0.25">
      <c r="A954" s="17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22"/>
    </row>
    <row r="955" spans="1:26" x14ac:dyDescent="0.25">
      <c r="A955" s="17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22"/>
    </row>
    <row r="956" spans="1:26" x14ac:dyDescent="0.25">
      <c r="A956" s="17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22"/>
    </row>
    <row r="957" spans="1:26" x14ac:dyDescent="0.25">
      <c r="A957" s="17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22"/>
    </row>
    <row r="958" spans="1:26" x14ac:dyDescent="0.25">
      <c r="A958" s="17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22"/>
    </row>
    <row r="959" spans="1:26" x14ac:dyDescent="0.25">
      <c r="A959" s="17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22"/>
    </row>
    <row r="960" spans="1:26" x14ac:dyDescent="0.25">
      <c r="A960" s="17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22"/>
    </row>
    <row r="961" spans="1:26" x14ac:dyDescent="0.25">
      <c r="A961" s="17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22"/>
    </row>
    <row r="962" spans="1:26" x14ac:dyDescent="0.25">
      <c r="A962" s="17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22"/>
    </row>
    <row r="963" spans="1:26" x14ac:dyDescent="0.25">
      <c r="A963" s="17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22"/>
    </row>
    <row r="964" spans="1:26" x14ac:dyDescent="0.25">
      <c r="A964" s="17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22"/>
    </row>
    <row r="965" spans="1:26" x14ac:dyDescent="0.25">
      <c r="A965" s="17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22"/>
    </row>
    <row r="966" spans="1:26" x14ac:dyDescent="0.25">
      <c r="A966" s="17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22"/>
    </row>
    <row r="967" spans="1:26" x14ac:dyDescent="0.25">
      <c r="A967" s="17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22"/>
    </row>
    <row r="968" spans="1:26" x14ac:dyDescent="0.25">
      <c r="A968" s="17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22"/>
    </row>
    <row r="969" spans="1:26" x14ac:dyDescent="0.25">
      <c r="A969" s="17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22"/>
    </row>
    <row r="970" spans="1:26" x14ac:dyDescent="0.25">
      <c r="A970" s="17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22"/>
    </row>
    <row r="971" spans="1:26" x14ac:dyDescent="0.25">
      <c r="A971" s="17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22"/>
    </row>
    <row r="972" spans="1:26" x14ac:dyDescent="0.25">
      <c r="A972" s="17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22"/>
    </row>
    <row r="973" spans="1:26" x14ac:dyDescent="0.25">
      <c r="A973" s="17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22"/>
    </row>
    <row r="974" spans="1:26" x14ac:dyDescent="0.25">
      <c r="A974" s="17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22"/>
    </row>
    <row r="975" spans="1:26" x14ac:dyDescent="0.25">
      <c r="A975" s="17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22"/>
    </row>
    <row r="976" spans="1:26" x14ac:dyDescent="0.25">
      <c r="A976" s="17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22"/>
    </row>
    <row r="977" spans="1:26" x14ac:dyDescent="0.25">
      <c r="A977" s="17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22"/>
    </row>
    <row r="978" spans="1:26" x14ac:dyDescent="0.25">
      <c r="A978" s="17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22"/>
    </row>
    <row r="979" spans="1:26" x14ac:dyDescent="0.25">
      <c r="A979" s="17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22"/>
    </row>
    <row r="980" spans="1:26" x14ac:dyDescent="0.25">
      <c r="A980" s="17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22"/>
    </row>
    <row r="981" spans="1:26" x14ac:dyDescent="0.25">
      <c r="A981" s="17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22"/>
    </row>
    <row r="982" spans="1:26" x14ac:dyDescent="0.25">
      <c r="A982" s="17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22"/>
    </row>
    <row r="983" spans="1:26" x14ac:dyDescent="0.25">
      <c r="A983" s="17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22"/>
    </row>
    <row r="984" spans="1:26" x14ac:dyDescent="0.25">
      <c r="A984" s="17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22"/>
    </row>
    <row r="985" spans="1:26" x14ac:dyDescent="0.25">
      <c r="A985" s="17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22"/>
    </row>
    <row r="986" spans="1:26" x14ac:dyDescent="0.25">
      <c r="A986" s="17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22"/>
    </row>
    <row r="987" spans="1:26" x14ac:dyDescent="0.25">
      <c r="A987" s="17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22"/>
    </row>
    <row r="988" spans="1:26" x14ac:dyDescent="0.25">
      <c r="A988" s="17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22"/>
    </row>
    <row r="989" spans="1:26" x14ac:dyDescent="0.25">
      <c r="A989" s="17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22"/>
    </row>
    <row r="990" spans="1:26" x14ac:dyDescent="0.25">
      <c r="A990" s="17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22"/>
    </row>
    <row r="991" spans="1:26" x14ac:dyDescent="0.25">
      <c r="A991" s="17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22"/>
    </row>
    <row r="992" spans="1:26" x14ac:dyDescent="0.25">
      <c r="A992" s="17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22"/>
    </row>
    <row r="993" spans="1:26" x14ac:dyDescent="0.25">
      <c r="A993" s="17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22"/>
    </row>
    <row r="994" spans="1:26" x14ac:dyDescent="0.25">
      <c r="A994" s="17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22"/>
    </row>
    <row r="995" spans="1:26" x14ac:dyDescent="0.25">
      <c r="A995" s="17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22"/>
    </row>
    <row r="996" spans="1:26" x14ac:dyDescent="0.25">
      <c r="A996" s="17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22"/>
    </row>
    <row r="997" spans="1:26" x14ac:dyDescent="0.25">
      <c r="A997" s="17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22"/>
    </row>
    <row r="998" spans="1:26" x14ac:dyDescent="0.25">
      <c r="A998" s="17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22"/>
    </row>
    <row r="999" spans="1:26" x14ac:dyDescent="0.25">
      <c r="A999" s="17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22"/>
    </row>
    <row r="1000" spans="1:26" x14ac:dyDescent="0.25">
      <c r="A1000" s="19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3"/>
    </row>
  </sheetData>
  <mergeCells count="3">
    <mergeCell ref="A6:N6"/>
    <mergeCell ref="A2:N2"/>
    <mergeCell ref="A3:N3"/>
  </mergeCells>
  <pageMargins left="0.70866141732283472" right="0.70866141732283472" top="0.74803149606299213" bottom="0.74803149606299213" header="0.31496062992125984" footer="0.31496062992125984"/>
  <pageSetup paperSize="9" scale="62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552A2F5BA5264682531310898D6381" ma:contentTypeVersion="1" ma:contentTypeDescription="Crie um novo documento." ma:contentTypeScope="" ma:versionID="82a1ba5afed9ecef9942b75c0eba15db">
  <xsd:schema xmlns:xsd="http://www.w3.org/2001/XMLSchema" xmlns:xs="http://www.w3.org/2001/XMLSchema" xmlns:p="http://schemas.microsoft.com/office/2006/metadata/properties" xmlns:ns3="6beda3be-c394-4af1-b5ee-ef6887783a60" targetNamespace="http://schemas.microsoft.com/office/2006/metadata/properties" ma:root="true" ma:fieldsID="126843f53592c3ee40dc93f8f180f60a" ns3:_="">
    <xsd:import namespace="6beda3be-c394-4af1-b5ee-ef6887783a6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da3be-c394-4af1-b5ee-ef6887783a6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BBA98D-3DEA-407D-B3A3-A9EBC0950B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6A33E1-FCFD-4AC5-9B96-DD6837421096}">
  <ds:schemaRefs>
    <ds:schemaRef ds:uri="http://purl.org/dc/elements/1.1/"/>
    <ds:schemaRef ds:uri="http://schemas.microsoft.com/office/infopath/2007/PartnerControls"/>
    <ds:schemaRef ds:uri="http://www.w3.org/XML/1998/namespace"/>
    <ds:schemaRef ds:uri="http://purl.org/dc/terms/"/>
    <ds:schemaRef ds:uri="6beda3be-c394-4af1-b5ee-ef6887783a60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</ds:schemaRefs>
</ds:datastoreItem>
</file>

<file path=customXml/itemProps3.xml><?xml version="1.0" encoding="utf-8"?>
<ds:datastoreItem xmlns:ds="http://schemas.openxmlformats.org/officeDocument/2006/customXml" ds:itemID="{1D48779D-535F-40FE-B10B-04DC03C351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da3be-c394-4af1-b5ee-ef6887783a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</vt:i4>
      </vt:variant>
    </vt:vector>
  </HeadingPairs>
  <TitlesOfParts>
    <vt:vector size="18" baseType="lpstr">
      <vt:lpstr>Queixa</vt:lpstr>
      <vt:lpstr>Pacientes</vt:lpstr>
      <vt:lpstr>BaseDeMedicamentos</vt:lpstr>
      <vt:lpstr>Espirro e congestão nasal</vt:lpstr>
      <vt:lpstr>Infecções Fúngicas Superficiais</vt:lpstr>
      <vt:lpstr>Dor lombar</vt:lpstr>
      <vt:lpstr>Dor de garganta</vt:lpstr>
      <vt:lpstr>Dismenorreia</vt:lpstr>
      <vt:lpstr>Dor de cabeça</vt:lpstr>
      <vt:lpstr>Azia e má digestão</vt:lpstr>
      <vt:lpstr>Queimadura solar e fotoproteção</vt:lpstr>
      <vt:lpstr>Constipação</vt:lpstr>
      <vt:lpstr>Hemorroidas</vt:lpstr>
      <vt:lpstr>Febre</vt:lpstr>
      <vt:lpstr>Diarreia</vt:lpstr>
      <vt:lpstr>Tosse</vt:lpstr>
      <vt:lpstr>RECEITUÁRIO</vt:lpstr>
      <vt:lpstr>RECEITUÁRIO!Area_de_impressao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Amabilly Riva Dutra</cp:lastModifiedBy>
  <cp:revision/>
  <dcterms:created xsi:type="dcterms:W3CDTF">2025-09-18T11:49:49Z</dcterms:created>
  <dcterms:modified xsi:type="dcterms:W3CDTF">2025-11-06T00:21:21Z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0x010100F3552A2F5BA5264682531310898D6381</vt:lpwstr>
  </property>
</Properties>
</file>